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A5C5D94-E187-4D06-B605-9A9ECE5985A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规则扫描总览" sheetId="1" r:id="rId1"/>
    <sheet name=" 收入增速远超行业" sheetId="2" r:id="rId2"/>
    <sheet name=" 应收增速远超收入" sheetId="3" r:id="rId3"/>
    <sheet name="收入下滑、应收上升、减值未增" sheetId="4" r:id="rId4"/>
    <sheet name="存贷双高" sheetId="5" r:id="rId5"/>
    <sheet name="存货增长远超收入" sheetId="7" r:id="rId6"/>
    <sheet name="应收应付同时大幅增长" sheetId="9" r:id="rId7"/>
    <sheet name="销售费用与收入背离" sheetId="12" r:id="rId8"/>
    <sheet name="净利润正但经营现金流负" sheetId="13" r:id="rId9"/>
    <sheet name="关键指标与行业趋势不符" sheetId="19" r:id="rId10"/>
    <sheet name="所得税与利润不匹配" sheetId="2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9" l="1"/>
  <c r="G7" i="19"/>
  <c r="G8" i="19"/>
  <c r="G9" i="19"/>
  <c r="G10" i="19"/>
  <c r="G11" i="19"/>
  <c r="G5" i="19"/>
  <c r="G6" i="2"/>
  <c r="G7" i="2"/>
  <c r="G8" i="2"/>
  <c r="G9" i="2"/>
  <c r="G10" i="2"/>
  <c r="G11" i="2"/>
  <c r="G5" i="2"/>
</calcChain>
</file>

<file path=xl/sharedStrings.xml><?xml version="1.0" encoding="utf-8"?>
<sst xmlns="http://schemas.openxmlformats.org/spreadsheetml/2006/main" count="523" uniqueCount="166">
  <si>
    <t>风险名称</t>
  </si>
  <si>
    <t>零跑汽车</t>
  </si>
  <si>
    <t>富奥股份</t>
  </si>
  <si>
    <t>富维股份</t>
  </si>
  <si>
    <t>豪森智能</t>
  </si>
  <si>
    <t>长春一东</t>
  </si>
  <si>
    <t>泽景股份</t>
  </si>
  <si>
    <t>博泰车联</t>
  </si>
  <si>
    <t>收入增速远超行业</t>
  </si>
  <si>
    <t>●</t>
  </si>
  <si>
    <t>—</t>
  </si>
  <si>
    <t>应收增速远超收入</t>
  </si>
  <si>
    <t>○</t>
  </si>
  <si>
    <t>收入下滑、应收上升、减值未增</t>
  </si>
  <si>
    <t>存贷双高</t>
  </si>
  <si>
    <t>存货增长远超收入</t>
  </si>
  <si>
    <t>应收应付同时大幅增长</t>
  </si>
  <si>
    <t>销售费用与收入背离</t>
  </si>
  <si>
    <t>净利润正但经营现金流负</t>
  </si>
  <si>
    <t>关键指标与行业趋势不符</t>
  </si>
  <si>
    <t>所得税与利润不匹配</t>
  </si>
  <si>
    <t>序号</t>
  </si>
  <si>
    <t>公司</t>
  </si>
  <si>
    <t>代码</t>
  </si>
  <si>
    <t>本期收入(亿)</t>
  </si>
  <si>
    <t>收入增速(%)</t>
  </si>
  <si>
    <t>行业中位数(%)</t>
  </si>
  <si>
    <t>增速差(pp)</t>
  </si>
  <si>
    <t>状态</t>
  </si>
  <si>
    <t>说明</t>
  </si>
  <si>
    <t>09863.HK</t>
  </si>
  <si>
    <t>● 触发</t>
  </si>
  <si>
    <t>高增长，新势力放量、连续盈利，属正面信号；但需跟踪增速可持续性</t>
  </si>
  <si>
    <t>000030.SZ</t>
  </si>
  <si>
    <t>— 不触发</t>
  </si>
  <si>
    <t>低于行业，受整车客户价格压力与销量结构影响</t>
  </si>
  <si>
    <t>600742.SH</t>
  </si>
  <si>
    <t>低于行业，座舱业务受客户项目周期影响</t>
  </si>
  <si>
    <t>688529.SH</t>
  </si>
  <si>
    <t>600148.SH</t>
  </si>
  <si>
    <t>02632.HK</t>
  </si>
  <si>
    <t>基本持平行业，HUD项目小批量</t>
  </si>
  <si>
    <t>02889.HK</t>
  </si>
  <si>
    <t>高增长，座舱订单放量，属正面信号；关注收入确认与回款</t>
  </si>
  <si>
    <t>应收增速(%)</t>
  </si>
  <si>
    <t>差值(pp)</t>
  </si>
  <si>
    <t>是</t>
  </si>
  <si>
    <t>2025年报差+61.7、2026H1差+145.6，连续2期；应收占营收比升至23%，需核实账期拉长原因（海外/合资客户）</t>
  </si>
  <si>
    <t>应收与收入同步下降，无异常</t>
  </si>
  <si>
    <t>应收降幅大于收入，回款收紧</t>
  </si>
  <si>
    <t>应收随收入下降，无应收虚增</t>
  </si>
  <si>
    <t>收入增长而应收下降，回款良好</t>
  </si>
  <si>
    <t>+9.4*</t>
  </si>
  <si>
    <t>否</t>
  </si>
  <si>
    <t>○ 关注</t>
  </si>
  <si>
    <t>2026H1差+24.9首次超阈值，2025年报差+8.0不连续；应收占营收比高，需跟踪</t>
  </si>
  <si>
    <t>信用减值变动</t>
  </si>
  <si>
    <t>收入未下滑，不适用</t>
  </si>
  <si>
    <t>应收不升反降，不满足</t>
  </si>
  <si>
    <t>减值大幅增加</t>
  </si>
  <si>
    <t>应收下降且2026H1计提信用减值0.60亿、资产减值1.74亿，不满足</t>
  </si>
  <si>
    <t>货币资金(亿)</t>
  </si>
  <si>
    <t>占总资产(%)</t>
  </si>
  <si>
    <t>有息负债(亿)</t>
  </si>
  <si>
    <t>两条件均不满足</t>
  </si>
  <si>
    <t>仅货币资金满足、负债极低；需核实货币资金构成及受限情况</t>
  </si>
  <si>
    <t>仅负债满足、货币资金仅4.2%，属流动性/偿债压力而非存贷双高</t>
  </si>
  <si>
    <t>不满足</t>
  </si>
  <si>
    <t>货币资金主要为2026年3月IPO募资、负债低，仅一条件</t>
  </si>
  <si>
    <t>两条件同时满足，需核实货币资金真实性、受限及借款资金成本</t>
  </si>
  <si>
    <t>存货增速(%)</t>
  </si>
  <si>
    <t>高增长备货，需跟踪去化节奏与跌价</t>
  </si>
  <si>
    <t>收入下滑存货仍增，关注积压与减值</t>
  </si>
  <si>
    <t>存货随收入增长，无异常</t>
  </si>
  <si>
    <t>备货激进，关注滞销与减值</t>
  </si>
  <si>
    <t>应付增速(%)</t>
  </si>
  <si>
    <t>业务放量，应收应付同步扩张，属正常扩张，需跟踪账期</t>
  </si>
  <si>
    <t>未达30%</t>
  </si>
  <si>
    <t>应收下降，未达30%</t>
  </si>
  <si>
    <t>+15.1*</t>
  </si>
  <si>
    <t>*较年末，未达30%</t>
  </si>
  <si>
    <t>高于收入，关注对上下游占款及回款</t>
  </si>
  <si>
    <t>销售费用增速(%)</t>
  </si>
  <si>
    <t>销售费用随收入增长，无背离</t>
  </si>
  <si>
    <t>收入下降，不适用</t>
  </si>
  <si>
    <t>收入下降，不适用（销售费基数小，包装仓储费增加）</t>
  </si>
  <si>
    <t>两期净利(亿)</t>
  </si>
  <si>
    <t>两期经营现金流(亿)</t>
  </si>
  <si>
    <t>+0.33→+2.10</t>
  </si>
  <si>
    <t>+28.58→+21.70</t>
  </si>
  <si>
    <t>现金流为正，不满足</t>
  </si>
  <si>
    <t>+3.98→+2.23</t>
  </si>
  <si>
    <t>-0.62→-3.32</t>
  </si>
  <si>
    <t>2025H1、2026H1连续两个半年度同期均为'利润正现金流负'，2026H1恶化至-3.32亿；2025全年现金流为正（+5.36），需跟踪全年</t>
  </si>
  <si>
    <t>+4.05→+2.71</t>
  </si>
  <si>
    <t>+5.25→+11.11</t>
  </si>
  <si>
    <t>现金流为正且改善，不满足</t>
  </si>
  <si>
    <t>-1.53→-4.26</t>
  </si>
  <si>
    <t>+2.00→+2.97</t>
  </si>
  <si>
    <t>持续亏损，不适用</t>
  </si>
  <si>
    <t>约+0.04→+0.185</t>
  </si>
  <si>
    <t>+0.047→-0.083</t>
  </si>
  <si>
    <t>2026H1单期利润正现金流负、2025H1现金流为正，不连续；金额较小，需跟踪</t>
  </si>
  <si>
    <t>-2.45→-4.13</t>
  </si>
  <si>
    <t>-0.009→-0.95</t>
  </si>
  <si>
    <t>-2.27→-3.07</t>
  </si>
  <si>
    <t>+0.80→-5.27</t>
  </si>
  <si>
    <t>不适用</t>
  </si>
  <si>
    <t>偏离</t>
  </si>
  <si>
    <t>关键指标</t>
  </si>
  <si>
    <t>实际值</t>
  </si>
  <si>
    <t>行业中位数</t>
  </si>
  <si>
    <t>毛利率</t>
  </si>
  <si>
    <t>所得税(亿)</t>
  </si>
  <si>
    <t>利润总额(亿)</t>
  </si>
  <si>
    <t>占比</t>
  </si>
  <si>
    <t>累计亏损抵扣+研发加计，刚盈利，合理</t>
  </si>
  <si>
    <t>半年报明确披露高新技术企业优惠+研发费用加计，有优惠说明</t>
  </si>
  <si>
    <t>-0.09（收益）</t>
  </si>
  <si>
    <t>亏损，不适用</t>
  </si>
  <si>
    <t>实际税率正常</t>
  </si>
  <si>
    <t xml:space="preserve"> 收入增速远超行业</t>
    <phoneticPr fontId="17" type="noConversion"/>
  </si>
  <si>
    <t>触发条件：收入增速-行业中位数&gt;15pp</t>
    <phoneticPr fontId="17" type="noConversion"/>
  </si>
  <si>
    <t>触发条件：应收增速-收入增速&gt;20pp且连续2年</t>
    <phoneticPr fontId="17" type="noConversion"/>
  </si>
  <si>
    <t>扫描结论：●触发 1 家，○关注 1 家，—不触发 5 家</t>
    <phoneticPr fontId="17" type="noConversion"/>
  </si>
  <si>
    <t>扫描结论：●触发 2 家，○关注 0 家，—不触发 5 家</t>
    <phoneticPr fontId="17" type="noConversion"/>
  </si>
  <si>
    <t>应收增速远超收入</t>
    <phoneticPr fontId="17" type="noConversion"/>
  </si>
  <si>
    <t>连续2期</t>
    <phoneticPr fontId="17" type="noConversion"/>
  </si>
  <si>
    <t>触发条件：收入下降且应收上升且信用减值/应收未增长</t>
    <phoneticPr fontId="17" type="noConversion"/>
  </si>
  <si>
    <t>扫描结论：●触发 0 家，○关注 0 家，—不触发 7 家</t>
    <phoneticPr fontId="17" type="noConversion"/>
  </si>
  <si>
    <t>收入下滑、应收上升、减值未增</t>
    <phoneticPr fontId="17" type="noConversion"/>
  </si>
  <si>
    <t>收入未下滑，不适用</t>
    <phoneticPr fontId="17" type="noConversion"/>
  </si>
  <si>
    <t>未达阈值</t>
    <phoneticPr fontId="17" type="noConversion"/>
  </si>
  <si>
    <t>高增长，未触发</t>
    <phoneticPr fontId="17" type="noConversion"/>
  </si>
  <si>
    <t>收入下滑，项目交付延迟</t>
    <phoneticPr fontId="17" type="noConversion"/>
  </si>
  <si>
    <t>存贷双高</t>
    <phoneticPr fontId="17" type="noConversion"/>
  </si>
  <si>
    <t>触发条件：货币资金/总资产&gt;20% 且 有息负债/总资产&gt;30%</t>
    <phoneticPr fontId="17" type="noConversion"/>
  </si>
  <si>
    <t>扫描结论：●触发 1 家，○关注 2 家，—不触发 4 家</t>
    <phoneticPr fontId="17" type="noConversion"/>
  </si>
  <si>
    <t>存货增长远超收入</t>
    <phoneticPr fontId="17" type="noConversion"/>
  </si>
  <si>
    <t>触发条件：存货增速-收入增速&gt;20pp</t>
    <phoneticPr fontId="17" type="noConversion"/>
  </si>
  <si>
    <t>扫描结论：●触发 4 家，○关注 0 家，—不触发 3 家</t>
    <phoneticPr fontId="17" type="noConversion"/>
  </si>
  <si>
    <t>未达阈值，且存货绝对额小、周转快</t>
    <phoneticPr fontId="17" type="noConversion"/>
  </si>
  <si>
    <t>较2025年末；存货增速远超收入</t>
    <phoneticPr fontId="17" type="noConversion"/>
  </si>
  <si>
    <t>未达阈值；存货33亿/营收=455%，存在积压风险</t>
    <phoneticPr fontId="17" type="noConversion"/>
  </si>
  <si>
    <t>应收应付同时大幅增长</t>
    <phoneticPr fontId="17" type="noConversion"/>
  </si>
  <si>
    <t>触发条件：应收、应付同比均&gt;30%</t>
    <phoneticPr fontId="17" type="noConversion"/>
  </si>
  <si>
    <t>所得税与利润不匹配</t>
    <phoneticPr fontId="17" type="noConversion"/>
  </si>
  <si>
    <t>触发条件：所得税/利润总额&lt;15%且无优惠说明</t>
    <phoneticPr fontId="17" type="noConversion"/>
  </si>
  <si>
    <t xml:space="preserve"> </t>
    <phoneticPr fontId="17" type="noConversion"/>
  </si>
  <si>
    <t>关键指标与行业趋势不符</t>
    <phoneticPr fontId="17" type="noConversion"/>
  </si>
  <si>
    <t>触发条件：关键指标偏离行业中位数&gt;50%（毛利率）</t>
    <phoneticPr fontId="17" type="noConversion"/>
  </si>
  <si>
    <t>毛利仅略低，正常偏离</t>
    <phoneticPr fontId="17" type="noConversion"/>
  </si>
  <si>
    <t>毛利率显著低于行业，盈利能力承压</t>
    <phoneticPr fontId="17" type="noConversion"/>
  </si>
  <si>
    <t>毛利率显著低于行业，座舱业务受客户项目周期拖累</t>
    <phoneticPr fontId="17" type="noConversion"/>
  </si>
  <si>
    <t>毛利大幅偏离行业；盈利能力弱，与大额减值互证</t>
    <phoneticPr fontId="17" type="noConversion"/>
  </si>
  <si>
    <t>毛利率高于行业，正常偏离</t>
    <phoneticPr fontId="17" type="noConversion"/>
  </si>
  <si>
    <t>扫描结论：●触发 1 家，○关注 3 家，—不触发 3 家</t>
    <phoneticPr fontId="17" type="noConversion"/>
  </si>
  <si>
    <t>净利润正但经营现金流负</t>
    <phoneticPr fontId="17" type="noConversion"/>
  </si>
  <si>
    <t>触发条件：连续2年净利&gt;0且经营现金流&lt;0</t>
    <phoneticPr fontId="17" type="noConversion"/>
  </si>
  <si>
    <t>扫描结论：●触发 0 家，○关注 2 家，—不触发 5 家</t>
    <phoneticPr fontId="17" type="noConversion"/>
  </si>
  <si>
    <t>销售费用与收入背离</t>
    <phoneticPr fontId="17" type="noConversion"/>
  </si>
  <si>
    <t>市场拓展投入增加</t>
    <phoneticPr fontId="17" type="noConversion"/>
  </si>
  <si>
    <t>销售费用随收入增长</t>
    <phoneticPr fontId="17" type="noConversion"/>
  </si>
  <si>
    <t>触发条件：收入增长但销售费用降&gt;10%</t>
    <phoneticPr fontId="17" type="noConversion"/>
  </si>
  <si>
    <t>●触发  ○关注  —不触发</t>
    <phoneticPr fontId="17" type="noConversion"/>
  </si>
  <si>
    <t>参股公司全盘风险扫描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</si>
</sst>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7"/>
      <color rgb="FFFFFFFF"/>
      <name val="微软雅黑"/>
      <family val="2"/>
      <charset val="134"/>
    </font>
    <font>
      <sz val="9"/>
      <color rgb="FF40404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sz val="10"/>
      <color rgb="FFA6A6A6"/>
      <name val="微软雅黑"/>
      <family val="2"/>
      <charset val="134"/>
    </font>
    <font>
      <b/>
      <sz val="11"/>
      <color rgb="FFED7D31"/>
      <name val="微软雅黑"/>
      <family val="2"/>
      <charset val="134"/>
    </font>
    <font>
      <b/>
      <sz val="15"/>
      <color rgb="FFFFFFFF"/>
      <name val="微软雅黑"/>
      <family val="2"/>
      <charset val="134"/>
    </font>
    <font>
      <sz val="10"/>
      <color rgb="FFFFFFFF"/>
      <name val="微软雅黑"/>
      <family val="2"/>
      <charset val="134"/>
    </font>
    <font>
      <sz val="9.5"/>
      <color rgb="FF000000"/>
      <name val="微软雅黑"/>
      <family val="2"/>
      <charset val="134"/>
    </font>
    <font>
      <b/>
      <sz val="9.5"/>
      <color rgb="FFC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.5"/>
      <color rgb="FF595959"/>
      <name val="微软雅黑"/>
      <family val="2"/>
      <charset val="134"/>
    </font>
    <font>
      <b/>
      <sz val="9.5"/>
      <color rgb="FFED7D31"/>
      <name val="微软雅黑"/>
      <family val="2"/>
      <charset val="134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496"/>
      </patternFill>
    </fill>
    <fill>
      <patternFill patternType="solid">
        <fgColor rgb="FFF8CBAD"/>
      </patternFill>
    </fill>
    <fill>
      <patternFill patternType="solid">
        <fgColor rgb="FFFCE4D6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0" fontId="11" fillId="0" borderId="1" xfId="1" applyNumberFormat="1" applyFont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F16" sqref="F16"/>
    </sheetView>
  </sheetViews>
  <sheetFormatPr defaultRowHeight="13.5" x14ac:dyDescent="0.3"/>
  <cols>
    <col min="1" max="1" width="22" customWidth="1"/>
    <col min="2" max="8" width="11" customWidth="1"/>
  </cols>
  <sheetData>
    <row r="1" spans="1:8" ht="27" customHeight="1" x14ac:dyDescent="0.3">
      <c r="A1" s="12" t="s">
        <v>165</v>
      </c>
      <c r="B1" s="12"/>
      <c r="C1" s="12"/>
      <c r="D1" s="12"/>
      <c r="E1" s="12"/>
      <c r="F1" s="12"/>
      <c r="G1" s="12"/>
      <c r="H1" s="12"/>
    </row>
    <row r="2" spans="1:8" ht="19.5" customHeight="1" x14ac:dyDescent="0.3">
      <c r="A2" s="16" t="s">
        <v>164</v>
      </c>
      <c r="B2" s="16"/>
      <c r="C2" s="16"/>
      <c r="D2" s="16"/>
      <c r="E2" s="16"/>
      <c r="F2" s="16"/>
      <c r="G2" s="16"/>
      <c r="H2" s="16"/>
    </row>
    <row r="3" spans="1:8" ht="15.75" x14ac:dyDescent="0.3">
      <c r="A3" s="18" t="s">
        <v>0</v>
      </c>
      <c r="B3" s="17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7" t="s">
        <v>7</v>
      </c>
    </row>
    <row r="4" spans="1:8" ht="15.75" x14ac:dyDescent="0.3">
      <c r="A4" s="2" t="s">
        <v>8</v>
      </c>
      <c r="B4" s="3" t="s">
        <v>9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3" t="s">
        <v>9</v>
      </c>
    </row>
    <row r="5" spans="1:8" ht="15.75" x14ac:dyDescent="0.3">
      <c r="A5" s="2" t="s">
        <v>11</v>
      </c>
      <c r="B5" s="3" t="s">
        <v>9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12</v>
      </c>
    </row>
    <row r="6" spans="1:8" ht="27.75" x14ac:dyDescent="0.3">
      <c r="A6" s="2" t="s">
        <v>13</v>
      </c>
      <c r="B6" s="4" t="s">
        <v>10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</row>
    <row r="7" spans="1:8" ht="15.75" x14ac:dyDescent="0.3">
      <c r="A7" s="2" t="s">
        <v>14</v>
      </c>
      <c r="B7" s="4" t="s">
        <v>10</v>
      </c>
      <c r="C7" s="4" t="s">
        <v>10</v>
      </c>
      <c r="D7" s="5" t="s">
        <v>12</v>
      </c>
      <c r="E7" s="4" t="s">
        <v>10</v>
      </c>
      <c r="F7" s="4" t="s">
        <v>10</v>
      </c>
      <c r="G7" s="5" t="s">
        <v>12</v>
      </c>
      <c r="H7" s="3" t="s">
        <v>9</v>
      </c>
    </row>
    <row r="8" spans="1:8" ht="15.75" x14ac:dyDescent="0.3">
      <c r="A8" s="2" t="s">
        <v>15</v>
      </c>
      <c r="B8" s="3" t="s">
        <v>9</v>
      </c>
      <c r="C8" s="3" t="s">
        <v>9</v>
      </c>
      <c r="D8" s="4" t="s">
        <v>10</v>
      </c>
      <c r="E8" s="4" t="s">
        <v>10</v>
      </c>
      <c r="F8" s="4" t="s">
        <v>10</v>
      </c>
      <c r="G8" s="3" t="s">
        <v>9</v>
      </c>
      <c r="H8" s="3" t="s">
        <v>9</v>
      </c>
    </row>
    <row r="9" spans="1:8" ht="15.75" x14ac:dyDescent="0.3">
      <c r="A9" s="2" t="s">
        <v>16</v>
      </c>
      <c r="B9" s="3" t="s">
        <v>9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3" t="s">
        <v>9</v>
      </c>
    </row>
    <row r="10" spans="1:8" ht="13.9" x14ac:dyDescent="0.3">
      <c r="A10" s="2" t="s">
        <v>17</v>
      </c>
      <c r="B10" s="4" t="s">
        <v>10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</row>
    <row r="11" spans="1:8" ht="15.75" x14ac:dyDescent="0.3">
      <c r="A11" s="2" t="s">
        <v>18</v>
      </c>
      <c r="B11" s="4" t="s">
        <v>10</v>
      </c>
      <c r="C11" s="5" t="s">
        <v>12</v>
      </c>
      <c r="D11" s="4" t="s">
        <v>10</v>
      </c>
      <c r="E11" s="4" t="s">
        <v>10</v>
      </c>
      <c r="F11" s="5" t="s">
        <v>12</v>
      </c>
      <c r="G11" s="4" t="s">
        <v>10</v>
      </c>
      <c r="H11" s="4" t="s">
        <v>10</v>
      </c>
    </row>
    <row r="12" spans="1:8" ht="15.75" x14ac:dyDescent="0.3">
      <c r="A12" s="2" t="s">
        <v>19</v>
      </c>
      <c r="B12" s="4" t="s">
        <v>10</v>
      </c>
      <c r="C12" s="5" t="s">
        <v>12</v>
      </c>
      <c r="D12" s="5" t="s">
        <v>12</v>
      </c>
      <c r="E12" s="3" t="s">
        <v>9</v>
      </c>
      <c r="F12" s="4" t="s">
        <v>10</v>
      </c>
      <c r="G12" s="4" t="s">
        <v>10</v>
      </c>
      <c r="H12" s="5" t="s">
        <v>12</v>
      </c>
    </row>
    <row r="13" spans="1:8" ht="13.9" x14ac:dyDescent="0.3">
      <c r="A13" s="2" t="s">
        <v>20</v>
      </c>
      <c r="B13" s="4" t="s">
        <v>10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</row>
  </sheetData>
  <mergeCells count="2">
    <mergeCell ref="A1:H1"/>
    <mergeCell ref="A2:H2"/>
  </mergeCells>
  <phoneticPr fontId="17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1"/>
  <sheetViews>
    <sheetView workbookViewId="0">
      <pane ySplit="4" topLeftCell="A5" activePane="bottomLeft" state="frozen"/>
      <selection pane="bottomLeft" activeCell="I11" sqref="I11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7" width="14" customWidth="1"/>
    <col min="8" max="8" width="10" customWidth="1"/>
    <col min="9" max="9" width="46" customWidth="1"/>
  </cols>
  <sheetData>
    <row r="1" spans="1:9" ht="28.05" customHeight="1" x14ac:dyDescent="0.3">
      <c r="A1" s="13" t="s">
        <v>121</v>
      </c>
      <c r="B1" s="11"/>
      <c r="C1" s="11"/>
      <c r="D1" s="11"/>
      <c r="E1" s="11"/>
      <c r="F1" s="11"/>
      <c r="G1" s="11"/>
      <c r="H1" s="11"/>
      <c r="I1" s="11"/>
    </row>
    <row r="2" spans="1:9" ht="22.05" customHeight="1" x14ac:dyDescent="0.3">
      <c r="A2" s="15" t="s">
        <v>122</v>
      </c>
      <c r="B2" s="11"/>
      <c r="C2" s="11"/>
      <c r="D2" s="11"/>
      <c r="E2" s="11"/>
      <c r="F2" s="11"/>
      <c r="G2" s="11"/>
      <c r="H2" s="11"/>
      <c r="I2" s="11"/>
    </row>
    <row r="3" spans="1:9" ht="20" customHeight="1" x14ac:dyDescent="0.3">
      <c r="A3" s="14" t="s">
        <v>125</v>
      </c>
      <c r="B3" s="11"/>
      <c r="C3" s="11"/>
      <c r="D3" s="11"/>
      <c r="E3" s="11"/>
      <c r="F3" s="11"/>
      <c r="G3" s="11"/>
      <c r="H3" s="11"/>
      <c r="I3" s="11"/>
    </row>
    <row r="4" spans="1:9" ht="14.65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</row>
    <row r="5" spans="1:9" ht="40.049999999999997" customHeight="1" x14ac:dyDescent="0.3">
      <c r="A5" s="6">
        <v>1</v>
      </c>
      <c r="B5" s="20" t="s">
        <v>1</v>
      </c>
      <c r="C5" s="6" t="s">
        <v>30</v>
      </c>
      <c r="D5" s="24">
        <v>381.07</v>
      </c>
      <c r="E5" s="24">
        <v>57.1</v>
      </c>
      <c r="F5" s="23">
        <v>-3.5</v>
      </c>
      <c r="G5" s="23">
        <f>E5-F5</f>
        <v>60.6</v>
      </c>
      <c r="H5" s="7" t="s">
        <v>31</v>
      </c>
      <c r="I5" s="8" t="s">
        <v>32</v>
      </c>
    </row>
    <row r="6" spans="1:9" ht="40.049999999999997" customHeight="1" x14ac:dyDescent="0.3">
      <c r="A6" s="6">
        <v>2</v>
      </c>
      <c r="B6" s="20" t="s">
        <v>2</v>
      </c>
      <c r="C6" s="6" t="s">
        <v>33</v>
      </c>
      <c r="D6" s="24">
        <v>72.569999999999993</v>
      </c>
      <c r="E6" s="24">
        <v>-7.6</v>
      </c>
      <c r="F6" s="24">
        <v>5.4</v>
      </c>
      <c r="G6" s="23">
        <f t="shared" ref="G6:G11" si="0">E6-F6</f>
        <v>-13</v>
      </c>
      <c r="H6" s="9" t="s">
        <v>34</v>
      </c>
      <c r="I6" s="8" t="s">
        <v>35</v>
      </c>
    </row>
    <row r="7" spans="1:9" ht="40.049999999999997" customHeight="1" x14ac:dyDescent="0.3">
      <c r="A7" s="6">
        <v>3</v>
      </c>
      <c r="B7" s="20" t="s">
        <v>3</v>
      </c>
      <c r="C7" s="6" t="s">
        <v>36</v>
      </c>
      <c r="D7" s="24">
        <v>71.41</v>
      </c>
      <c r="E7" s="24">
        <v>-23.2</v>
      </c>
      <c r="F7" s="23">
        <v>1.2</v>
      </c>
      <c r="G7" s="23">
        <f t="shared" si="0"/>
        <v>-24.4</v>
      </c>
      <c r="H7" s="9" t="s">
        <v>34</v>
      </c>
      <c r="I7" s="8" t="s">
        <v>37</v>
      </c>
    </row>
    <row r="8" spans="1:9" ht="40.049999999999997" customHeight="1" x14ac:dyDescent="0.3">
      <c r="A8" s="6">
        <v>4</v>
      </c>
      <c r="B8" s="20" t="s">
        <v>4</v>
      </c>
      <c r="C8" s="6" t="s">
        <v>38</v>
      </c>
      <c r="D8" s="24">
        <v>7.29</v>
      </c>
      <c r="E8" s="24">
        <v>-13.5</v>
      </c>
      <c r="F8" s="24">
        <v>12</v>
      </c>
      <c r="G8" s="23">
        <f t="shared" si="0"/>
        <v>-25.5</v>
      </c>
      <c r="H8" s="9" t="s">
        <v>34</v>
      </c>
      <c r="I8" s="8" t="s">
        <v>134</v>
      </c>
    </row>
    <row r="9" spans="1:9" ht="40.049999999999997" customHeight="1" x14ac:dyDescent="0.3">
      <c r="A9" s="6">
        <v>5</v>
      </c>
      <c r="B9" s="20" t="s">
        <v>5</v>
      </c>
      <c r="C9" s="6" t="s">
        <v>39</v>
      </c>
      <c r="D9" s="24">
        <v>4.54</v>
      </c>
      <c r="E9" s="24">
        <v>19.2</v>
      </c>
      <c r="F9" s="24">
        <v>5.4</v>
      </c>
      <c r="G9" s="23">
        <f t="shared" si="0"/>
        <v>13.799999999999999</v>
      </c>
      <c r="H9" s="9" t="s">
        <v>34</v>
      </c>
      <c r="I9" s="8" t="s">
        <v>133</v>
      </c>
    </row>
    <row r="10" spans="1:9" ht="40.049999999999997" customHeight="1" x14ac:dyDescent="0.3">
      <c r="A10" s="6">
        <v>6</v>
      </c>
      <c r="B10" s="20" t="s">
        <v>6</v>
      </c>
      <c r="C10" s="6" t="s">
        <v>40</v>
      </c>
      <c r="D10" s="24">
        <v>3.28</v>
      </c>
      <c r="E10" s="24">
        <v>1.9</v>
      </c>
      <c r="F10" s="24">
        <v>2.2000000000000002</v>
      </c>
      <c r="G10" s="23">
        <f t="shared" si="0"/>
        <v>-0.30000000000000027</v>
      </c>
      <c r="H10" s="9" t="s">
        <v>34</v>
      </c>
      <c r="I10" s="8" t="s">
        <v>41</v>
      </c>
    </row>
    <row r="11" spans="1:9" ht="40.049999999999997" customHeight="1" x14ac:dyDescent="0.3">
      <c r="A11" s="6">
        <v>7</v>
      </c>
      <c r="B11" s="20" t="s">
        <v>7</v>
      </c>
      <c r="C11" s="6" t="s">
        <v>42</v>
      </c>
      <c r="D11" s="24">
        <v>22.28</v>
      </c>
      <c r="E11" s="24">
        <v>105.2</v>
      </c>
      <c r="F11" s="24">
        <v>2.2000000000000002</v>
      </c>
      <c r="G11" s="23">
        <f t="shared" si="0"/>
        <v>103</v>
      </c>
      <c r="H11" s="7" t="s">
        <v>31</v>
      </c>
      <c r="I11" s="8" t="s">
        <v>43</v>
      </c>
    </row>
  </sheetData>
  <mergeCells count="3">
    <mergeCell ref="A1:I1"/>
    <mergeCell ref="A3:I3"/>
    <mergeCell ref="A2:I2"/>
  </mergeCells>
  <phoneticPr fontId="17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1"/>
  <sheetViews>
    <sheetView workbookViewId="0">
      <pane ySplit="4" topLeftCell="A7" activePane="bottomLeft" state="frozen"/>
      <selection pane="bottomLeft" activeCell="F5" sqref="F5"/>
    </sheetView>
  </sheetViews>
  <sheetFormatPr defaultRowHeight="13.5" x14ac:dyDescent="0.3"/>
  <cols>
    <col min="1" max="1" width="5" customWidth="1"/>
    <col min="2" max="2" width="12" style="22" customWidth="1"/>
    <col min="3" max="3" width="11" customWidth="1"/>
    <col min="4" max="6" width="14" customWidth="1"/>
    <col min="7" max="7" width="12" customWidth="1"/>
    <col min="8" max="8" width="10" customWidth="1"/>
    <col min="9" max="9" width="46" customWidth="1"/>
  </cols>
  <sheetData>
    <row r="1" spans="1:9" ht="28.05" customHeight="1" x14ac:dyDescent="0.3">
      <c r="A1" s="13" t="s">
        <v>126</v>
      </c>
      <c r="B1" s="11"/>
      <c r="C1" s="11"/>
      <c r="D1" s="11"/>
      <c r="E1" s="11"/>
      <c r="F1" s="11"/>
      <c r="G1" s="11"/>
      <c r="H1" s="11"/>
      <c r="I1" s="11"/>
    </row>
    <row r="2" spans="1:9" ht="22.05" customHeight="1" x14ac:dyDescent="0.3">
      <c r="A2" s="15" t="s">
        <v>123</v>
      </c>
      <c r="B2" s="11"/>
      <c r="C2" s="11"/>
      <c r="D2" s="11"/>
      <c r="E2" s="11"/>
      <c r="F2" s="11"/>
      <c r="G2" s="11"/>
      <c r="H2" s="11"/>
      <c r="I2" s="11"/>
    </row>
    <row r="3" spans="1:9" ht="20" customHeight="1" x14ac:dyDescent="0.3">
      <c r="A3" s="14" t="s">
        <v>124</v>
      </c>
      <c r="B3" s="11"/>
      <c r="C3" s="11"/>
      <c r="D3" s="11"/>
      <c r="E3" s="11"/>
      <c r="F3" s="11"/>
      <c r="G3" s="11"/>
      <c r="H3" s="11"/>
      <c r="I3" s="11"/>
    </row>
    <row r="4" spans="1:9" ht="14.65" x14ac:dyDescent="0.3">
      <c r="A4" s="1" t="s">
        <v>21</v>
      </c>
      <c r="B4" s="1" t="s">
        <v>22</v>
      </c>
      <c r="C4" s="1" t="s">
        <v>23</v>
      </c>
      <c r="D4" s="1" t="s">
        <v>44</v>
      </c>
      <c r="E4" s="1" t="s">
        <v>25</v>
      </c>
      <c r="F4" s="1" t="s">
        <v>45</v>
      </c>
      <c r="G4" s="1" t="s">
        <v>127</v>
      </c>
      <c r="H4" s="1" t="s">
        <v>28</v>
      </c>
      <c r="I4" s="1" t="s">
        <v>29</v>
      </c>
    </row>
    <row r="5" spans="1:9" ht="40.049999999999997" customHeight="1" x14ac:dyDescent="0.3">
      <c r="A5" s="6">
        <v>1</v>
      </c>
      <c r="B5" s="21" t="s">
        <v>1</v>
      </c>
      <c r="C5" s="6" t="s">
        <v>30</v>
      </c>
      <c r="D5" s="24">
        <v>202.7</v>
      </c>
      <c r="E5" s="24">
        <v>57.1</v>
      </c>
      <c r="F5" s="24">
        <v>145.6</v>
      </c>
      <c r="G5" s="6" t="s">
        <v>46</v>
      </c>
      <c r="H5" s="7" t="s">
        <v>31</v>
      </c>
      <c r="I5" s="8" t="s">
        <v>47</v>
      </c>
    </row>
    <row r="6" spans="1:9" ht="40.049999999999997" customHeight="1" x14ac:dyDescent="0.3">
      <c r="A6" s="6">
        <v>2</v>
      </c>
      <c r="B6" s="21" t="s">
        <v>2</v>
      </c>
      <c r="C6" s="6" t="s">
        <v>33</v>
      </c>
      <c r="D6" s="24">
        <v>-4.5</v>
      </c>
      <c r="E6" s="24">
        <v>-7.6</v>
      </c>
      <c r="F6" s="24">
        <v>3.1</v>
      </c>
      <c r="G6" s="6" t="s">
        <v>10</v>
      </c>
      <c r="H6" s="9" t="s">
        <v>34</v>
      </c>
      <c r="I6" s="8" t="s">
        <v>48</v>
      </c>
    </row>
    <row r="7" spans="1:9" ht="40.049999999999997" customHeight="1" x14ac:dyDescent="0.3">
      <c r="A7" s="6">
        <v>3</v>
      </c>
      <c r="B7" s="21" t="s">
        <v>3</v>
      </c>
      <c r="C7" s="6" t="s">
        <v>36</v>
      </c>
      <c r="D7" s="24">
        <v>-39.6</v>
      </c>
      <c r="E7" s="24">
        <v>-23.2</v>
      </c>
      <c r="F7" s="24">
        <v>-16.399999999999999</v>
      </c>
      <c r="G7" s="6" t="s">
        <v>10</v>
      </c>
      <c r="H7" s="9" t="s">
        <v>34</v>
      </c>
      <c r="I7" s="8" t="s">
        <v>49</v>
      </c>
    </row>
    <row r="8" spans="1:9" ht="40.049999999999997" customHeight="1" x14ac:dyDescent="0.3">
      <c r="A8" s="6">
        <v>4</v>
      </c>
      <c r="B8" s="21" t="s">
        <v>4</v>
      </c>
      <c r="C8" s="6" t="s">
        <v>38</v>
      </c>
      <c r="D8" s="24">
        <v>-31.3</v>
      </c>
      <c r="E8" s="24">
        <v>-13.5</v>
      </c>
      <c r="F8" s="24">
        <v>-17.8</v>
      </c>
      <c r="G8" s="6" t="s">
        <v>10</v>
      </c>
      <c r="H8" s="9" t="s">
        <v>34</v>
      </c>
      <c r="I8" s="8" t="s">
        <v>50</v>
      </c>
    </row>
    <row r="9" spans="1:9" ht="40.049999999999997" customHeight="1" x14ac:dyDescent="0.3">
      <c r="A9" s="6">
        <v>5</v>
      </c>
      <c r="B9" s="21" t="s">
        <v>5</v>
      </c>
      <c r="C9" s="6" t="s">
        <v>39</v>
      </c>
      <c r="D9" s="24">
        <v>-6.4</v>
      </c>
      <c r="E9" s="24">
        <v>19.2</v>
      </c>
      <c r="F9" s="24">
        <v>-25.6</v>
      </c>
      <c r="G9" s="6" t="s">
        <v>10</v>
      </c>
      <c r="H9" s="9" t="s">
        <v>34</v>
      </c>
      <c r="I9" s="8" t="s">
        <v>51</v>
      </c>
    </row>
    <row r="10" spans="1:9" ht="40.049999999999997" customHeight="1" x14ac:dyDescent="0.3">
      <c r="A10" s="6">
        <v>6</v>
      </c>
      <c r="B10" s="21" t="s">
        <v>6</v>
      </c>
      <c r="C10" s="6" t="s">
        <v>40</v>
      </c>
      <c r="D10" s="6">
        <v>9.4</v>
      </c>
      <c r="E10" s="24">
        <v>1.9</v>
      </c>
      <c r="F10" s="24">
        <v>7.5</v>
      </c>
      <c r="G10" s="6" t="s">
        <v>10</v>
      </c>
      <c r="H10" s="9" t="s">
        <v>34</v>
      </c>
      <c r="I10" s="8" t="s">
        <v>132</v>
      </c>
    </row>
    <row r="11" spans="1:9" ht="40.049999999999997" customHeight="1" x14ac:dyDescent="0.3">
      <c r="A11" s="6">
        <v>7</v>
      </c>
      <c r="B11" s="21" t="s">
        <v>7</v>
      </c>
      <c r="C11" s="6" t="s">
        <v>42</v>
      </c>
      <c r="D11" s="24">
        <v>130.1</v>
      </c>
      <c r="E11" s="24">
        <v>105.2</v>
      </c>
      <c r="F11" s="24">
        <v>24.9</v>
      </c>
      <c r="G11" s="6" t="s">
        <v>53</v>
      </c>
      <c r="H11" s="10" t="s">
        <v>54</v>
      </c>
      <c r="I11" s="8" t="s">
        <v>55</v>
      </c>
    </row>
  </sheetData>
  <mergeCells count="3">
    <mergeCell ref="A1:I1"/>
    <mergeCell ref="A3:I3"/>
    <mergeCell ref="A2:I2"/>
  </mergeCells>
  <phoneticPr fontId="17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1"/>
  <sheetViews>
    <sheetView workbookViewId="0">
      <pane ySplit="4" topLeftCell="A6" activePane="bottomLeft" state="frozen"/>
      <selection pane="bottomLeft" activeCell="F6" sqref="F6"/>
    </sheetView>
  </sheetViews>
  <sheetFormatPr defaultRowHeight="13.5" x14ac:dyDescent="0.3"/>
  <cols>
    <col min="1" max="1" width="5" customWidth="1"/>
    <col min="2" max="2" width="12" style="22" customWidth="1"/>
    <col min="3" max="3" width="11" customWidth="1"/>
    <col min="4" max="5" width="14" customWidth="1"/>
    <col min="6" max="6" width="18" customWidth="1"/>
    <col min="7" max="7" width="10" customWidth="1"/>
    <col min="8" max="8" width="46" customWidth="1"/>
  </cols>
  <sheetData>
    <row r="1" spans="1:8" ht="28.05" customHeight="1" x14ac:dyDescent="0.3">
      <c r="A1" s="13" t="s">
        <v>130</v>
      </c>
      <c r="B1" s="11"/>
      <c r="C1" s="11"/>
      <c r="D1" s="11"/>
      <c r="E1" s="11"/>
      <c r="F1" s="11"/>
      <c r="G1" s="11"/>
      <c r="H1" s="11"/>
    </row>
    <row r="2" spans="1:8" ht="22.05" customHeight="1" x14ac:dyDescent="0.3">
      <c r="A2" s="15" t="s">
        <v>128</v>
      </c>
      <c r="B2" s="11"/>
      <c r="C2" s="11"/>
      <c r="D2" s="11"/>
      <c r="E2" s="11"/>
      <c r="F2" s="11"/>
      <c r="G2" s="11"/>
      <c r="H2" s="11"/>
    </row>
    <row r="3" spans="1:8" ht="20" customHeight="1" x14ac:dyDescent="0.3">
      <c r="A3" s="14" t="s">
        <v>129</v>
      </c>
      <c r="B3" s="11"/>
      <c r="C3" s="11"/>
      <c r="D3" s="11"/>
      <c r="E3" s="11"/>
      <c r="F3" s="11"/>
      <c r="G3" s="11"/>
      <c r="H3" s="11"/>
    </row>
    <row r="4" spans="1:8" ht="14.65" x14ac:dyDescent="0.3">
      <c r="A4" s="1" t="s">
        <v>21</v>
      </c>
      <c r="B4" s="1" t="s">
        <v>22</v>
      </c>
      <c r="C4" s="1" t="s">
        <v>23</v>
      </c>
      <c r="D4" s="1" t="s">
        <v>25</v>
      </c>
      <c r="E4" s="1" t="s">
        <v>44</v>
      </c>
      <c r="F4" s="1" t="s">
        <v>56</v>
      </c>
      <c r="G4" s="1" t="s">
        <v>28</v>
      </c>
      <c r="H4" s="1" t="s">
        <v>29</v>
      </c>
    </row>
    <row r="5" spans="1:8" ht="40.049999999999997" customHeight="1" x14ac:dyDescent="0.3">
      <c r="A5" s="6">
        <v>1</v>
      </c>
      <c r="B5" s="21" t="s">
        <v>1</v>
      </c>
      <c r="C5" s="6" t="s">
        <v>30</v>
      </c>
      <c r="D5" s="24">
        <v>57.1</v>
      </c>
      <c r="E5" s="24">
        <v>202.7</v>
      </c>
      <c r="F5" s="6" t="s">
        <v>10</v>
      </c>
      <c r="G5" s="9" t="s">
        <v>34</v>
      </c>
      <c r="H5" s="8" t="s">
        <v>57</v>
      </c>
    </row>
    <row r="6" spans="1:8" ht="40.049999999999997" customHeight="1" x14ac:dyDescent="0.3">
      <c r="A6" s="6">
        <v>2</v>
      </c>
      <c r="B6" s="21" t="s">
        <v>2</v>
      </c>
      <c r="C6" s="6" t="s">
        <v>33</v>
      </c>
      <c r="D6" s="24">
        <v>-7.6</v>
      </c>
      <c r="E6" s="24">
        <v>-4.5</v>
      </c>
      <c r="F6" s="6" t="s">
        <v>10</v>
      </c>
      <c r="G6" s="9" t="s">
        <v>34</v>
      </c>
      <c r="H6" s="8" t="s">
        <v>58</v>
      </c>
    </row>
    <row r="7" spans="1:8" ht="40.049999999999997" customHeight="1" x14ac:dyDescent="0.3">
      <c r="A7" s="6">
        <v>3</v>
      </c>
      <c r="B7" s="21" t="s">
        <v>3</v>
      </c>
      <c r="C7" s="6" t="s">
        <v>36</v>
      </c>
      <c r="D7" s="24">
        <v>-23.2</v>
      </c>
      <c r="E7" s="24">
        <v>-39.6</v>
      </c>
      <c r="F7" s="6" t="s">
        <v>10</v>
      </c>
      <c r="G7" s="9" t="s">
        <v>34</v>
      </c>
      <c r="H7" s="8" t="s">
        <v>58</v>
      </c>
    </row>
    <row r="8" spans="1:8" ht="40.049999999999997" customHeight="1" x14ac:dyDescent="0.3">
      <c r="A8" s="6">
        <v>4</v>
      </c>
      <c r="B8" s="21" t="s">
        <v>4</v>
      </c>
      <c r="C8" s="6" t="s">
        <v>38</v>
      </c>
      <c r="D8" s="24">
        <v>-13.5</v>
      </c>
      <c r="E8" s="24">
        <v>-31.3</v>
      </c>
      <c r="F8" s="6" t="s">
        <v>59</v>
      </c>
      <c r="G8" s="9" t="s">
        <v>34</v>
      </c>
      <c r="H8" s="8" t="s">
        <v>60</v>
      </c>
    </row>
    <row r="9" spans="1:8" ht="40.049999999999997" customHeight="1" x14ac:dyDescent="0.3">
      <c r="A9" s="6">
        <v>5</v>
      </c>
      <c r="B9" s="21" t="s">
        <v>5</v>
      </c>
      <c r="C9" s="6" t="s">
        <v>39</v>
      </c>
      <c r="D9" s="24">
        <v>19.2</v>
      </c>
      <c r="E9" s="24">
        <v>-6.4</v>
      </c>
      <c r="F9" s="6" t="s">
        <v>10</v>
      </c>
      <c r="G9" s="9" t="s">
        <v>34</v>
      </c>
      <c r="H9" s="8" t="s">
        <v>57</v>
      </c>
    </row>
    <row r="10" spans="1:8" ht="40.049999999999997" customHeight="1" x14ac:dyDescent="0.3">
      <c r="A10" s="6">
        <v>6</v>
      </c>
      <c r="B10" s="21" t="s">
        <v>6</v>
      </c>
      <c r="C10" s="6" t="s">
        <v>40</v>
      </c>
      <c r="D10" s="24">
        <v>1.9</v>
      </c>
      <c r="E10" s="6">
        <v>9.4</v>
      </c>
      <c r="F10" s="6" t="s">
        <v>10</v>
      </c>
      <c r="G10" s="9" t="s">
        <v>34</v>
      </c>
      <c r="H10" s="8" t="s">
        <v>131</v>
      </c>
    </row>
    <row r="11" spans="1:8" ht="40.049999999999997" customHeight="1" x14ac:dyDescent="0.3">
      <c r="A11" s="6">
        <v>7</v>
      </c>
      <c r="B11" s="21" t="s">
        <v>7</v>
      </c>
      <c r="C11" s="6" t="s">
        <v>42</v>
      </c>
      <c r="D11" s="24">
        <v>105.2</v>
      </c>
      <c r="E11" s="24">
        <v>130.1</v>
      </c>
      <c r="F11" s="6" t="s">
        <v>10</v>
      </c>
      <c r="G11" s="9" t="s">
        <v>34</v>
      </c>
      <c r="H11" s="8" t="s">
        <v>57</v>
      </c>
    </row>
  </sheetData>
  <mergeCells count="3">
    <mergeCell ref="A3:H3"/>
    <mergeCell ref="A2:H2"/>
    <mergeCell ref="A1:H1"/>
  </mergeCells>
  <phoneticPr fontId="17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1"/>
  <sheetViews>
    <sheetView workbookViewId="0">
      <pane ySplit="4" topLeftCell="A7" activePane="bottomLeft" state="frozen"/>
      <selection pane="bottomLeft" activeCell="I16" sqref="I16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7" width="14" customWidth="1"/>
    <col min="8" max="8" width="10" customWidth="1"/>
    <col min="9" max="9" width="46" customWidth="1"/>
  </cols>
  <sheetData>
    <row r="1" spans="1:9" ht="28.05" customHeight="1" x14ac:dyDescent="0.3">
      <c r="A1" s="13" t="s">
        <v>135</v>
      </c>
      <c r="B1" s="11"/>
      <c r="C1" s="11"/>
      <c r="D1" s="11"/>
      <c r="E1" s="11"/>
      <c r="F1" s="11"/>
      <c r="G1" s="11"/>
      <c r="H1" s="11"/>
      <c r="I1" s="11"/>
    </row>
    <row r="2" spans="1:9" ht="22.05" customHeight="1" x14ac:dyDescent="0.3">
      <c r="A2" s="15" t="s">
        <v>136</v>
      </c>
      <c r="B2" s="11"/>
      <c r="C2" s="11"/>
      <c r="D2" s="11"/>
      <c r="E2" s="11"/>
      <c r="F2" s="11"/>
      <c r="G2" s="11"/>
      <c r="H2" s="11"/>
      <c r="I2" s="11"/>
    </row>
    <row r="3" spans="1:9" ht="20" customHeight="1" x14ac:dyDescent="0.3">
      <c r="A3" s="14" t="s">
        <v>137</v>
      </c>
      <c r="B3" s="11"/>
      <c r="C3" s="11"/>
      <c r="D3" s="11"/>
      <c r="E3" s="11"/>
      <c r="F3" s="11"/>
      <c r="G3" s="11"/>
      <c r="H3" s="11"/>
      <c r="I3" s="11"/>
    </row>
    <row r="4" spans="1:9" ht="14.65" x14ac:dyDescent="0.3">
      <c r="A4" s="1" t="s">
        <v>21</v>
      </c>
      <c r="B4" s="1" t="s">
        <v>22</v>
      </c>
      <c r="C4" s="1" t="s">
        <v>23</v>
      </c>
      <c r="D4" s="1" t="s">
        <v>61</v>
      </c>
      <c r="E4" s="1" t="s">
        <v>62</v>
      </c>
      <c r="F4" s="1" t="s">
        <v>63</v>
      </c>
      <c r="G4" s="1" t="s">
        <v>62</v>
      </c>
      <c r="H4" s="1" t="s">
        <v>28</v>
      </c>
      <c r="I4" s="1" t="s">
        <v>29</v>
      </c>
    </row>
    <row r="5" spans="1:9" ht="40.049999999999997" customHeight="1" x14ac:dyDescent="0.3">
      <c r="A5" s="6">
        <v>1</v>
      </c>
      <c r="B5" s="20" t="s">
        <v>1</v>
      </c>
      <c r="C5" s="6" t="s">
        <v>30</v>
      </c>
      <c r="D5" s="24">
        <v>119.25</v>
      </c>
      <c r="E5" s="24">
        <v>15.3</v>
      </c>
      <c r="F5" s="24">
        <v>37.4</v>
      </c>
      <c r="G5" s="24">
        <v>4.8</v>
      </c>
      <c r="H5" s="9" t="s">
        <v>34</v>
      </c>
      <c r="I5" s="8" t="s">
        <v>64</v>
      </c>
    </row>
    <row r="6" spans="1:9" ht="40.049999999999997" customHeight="1" x14ac:dyDescent="0.3">
      <c r="A6" s="6">
        <v>2</v>
      </c>
      <c r="B6" s="20" t="s">
        <v>2</v>
      </c>
      <c r="C6" s="6" t="s">
        <v>33</v>
      </c>
      <c r="D6" s="24">
        <v>20.71</v>
      </c>
      <c r="E6" s="24">
        <v>11</v>
      </c>
      <c r="F6" s="24">
        <v>11.78</v>
      </c>
      <c r="G6" s="24">
        <v>6.2</v>
      </c>
      <c r="H6" s="9" t="s">
        <v>34</v>
      </c>
      <c r="I6" s="8" t="s">
        <v>64</v>
      </c>
    </row>
    <row r="7" spans="1:9" ht="40.049999999999997" customHeight="1" x14ac:dyDescent="0.3">
      <c r="A7" s="6">
        <v>3</v>
      </c>
      <c r="B7" s="20" t="s">
        <v>3</v>
      </c>
      <c r="C7" s="6" t="s">
        <v>36</v>
      </c>
      <c r="D7" s="24">
        <v>74.83</v>
      </c>
      <c r="E7" s="24">
        <v>34.6</v>
      </c>
      <c r="F7" s="24">
        <v>4.13</v>
      </c>
      <c r="G7" s="24">
        <v>1.9</v>
      </c>
      <c r="H7" s="10" t="s">
        <v>54</v>
      </c>
      <c r="I7" s="8" t="s">
        <v>65</v>
      </c>
    </row>
    <row r="8" spans="1:9" ht="40.049999999999997" customHeight="1" x14ac:dyDescent="0.3">
      <c r="A8" s="6">
        <v>4</v>
      </c>
      <c r="B8" s="20" t="s">
        <v>4</v>
      </c>
      <c r="C8" s="6" t="s">
        <v>38</v>
      </c>
      <c r="D8" s="24">
        <v>2.4300000000000002</v>
      </c>
      <c r="E8" s="24">
        <v>4.2</v>
      </c>
      <c r="F8" s="24">
        <v>20.58</v>
      </c>
      <c r="G8" s="24">
        <v>35.200000000000003</v>
      </c>
      <c r="H8" s="9" t="s">
        <v>34</v>
      </c>
      <c r="I8" s="8" t="s">
        <v>66</v>
      </c>
    </row>
    <row r="9" spans="1:9" ht="40.049999999999997" customHeight="1" x14ac:dyDescent="0.3">
      <c r="A9" s="6">
        <v>5</v>
      </c>
      <c r="B9" s="20" t="s">
        <v>5</v>
      </c>
      <c r="C9" s="6" t="s">
        <v>39</v>
      </c>
      <c r="D9" s="24">
        <v>1.78</v>
      </c>
      <c r="E9" s="24">
        <v>13</v>
      </c>
      <c r="F9" s="24">
        <v>0</v>
      </c>
      <c r="G9" s="24">
        <v>0</v>
      </c>
      <c r="H9" s="9" t="s">
        <v>34</v>
      </c>
      <c r="I9" s="8" t="s">
        <v>67</v>
      </c>
    </row>
    <row r="10" spans="1:9" ht="40.049999999999997" customHeight="1" x14ac:dyDescent="0.3">
      <c r="A10" s="6">
        <v>6</v>
      </c>
      <c r="B10" s="20" t="s">
        <v>6</v>
      </c>
      <c r="C10" s="6" t="s">
        <v>40</v>
      </c>
      <c r="D10" s="24">
        <v>4.76</v>
      </c>
      <c r="E10" s="24">
        <v>35.9</v>
      </c>
      <c r="F10" s="24">
        <v>1.1200000000000001</v>
      </c>
      <c r="G10" s="24">
        <v>8.4</v>
      </c>
      <c r="H10" s="10" t="s">
        <v>54</v>
      </c>
      <c r="I10" s="8" t="s">
        <v>68</v>
      </c>
    </row>
    <row r="11" spans="1:9" ht="40.049999999999997" customHeight="1" x14ac:dyDescent="0.3">
      <c r="A11" s="6">
        <v>7</v>
      </c>
      <c r="B11" s="20" t="s">
        <v>7</v>
      </c>
      <c r="C11" s="6" t="s">
        <v>42</v>
      </c>
      <c r="D11" s="24">
        <v>15.37</v>
      </c>
      <c r="E11" s="24">
        <v>20.8</v>
      </c>
      <c r="F11" s="24">
        <v>31.39</v>
      </c>
      <c r="G11" s="24">
        <v>42.5</v>
      </c>
      <c r="H11" s="7" t="s">
        <v>31</v>
      </c>
      <c r="I11" s="8" t="s">
        <v>69</v>
      </c>
    </row>
  </sheetData>
  <mergeCells count="3">
    <mergeCell ref="A1:I1"/>
    <mergeCell ref="A3:I3"/>
    <mergeCell ref="A2:I2"/>
  </mergeCells>
  <phoneticPr fontId="17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1"/>
  <sheetViews>
    <sheetView workbookViewId="0">
      <pane ySplit="4" topLeftCell="A5" activePane="bottomLeft" state="frozen"/>
      <selection pane="bottomLeft" activeCell="H10" sqref="H10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6" width="14" customWidth="1"/>
    <col min="7" max="7" width="10" customWidth="1"/>
    <col min="8" max="8" width="46" customWidth="1"/>
  </cols>
  <sheetData>
    <row r="1" spans="1:8" ht="28.05" customHeight="1" x14ac:dyDescent="0.3">
      <c r="A1" s="13" t="s">
        <v>138</v>
      </c>
      <c r="B1" s="11"/>
      <c r="C1" s="11"/>
      <c r="D1" s="11"/>
      <c r="E1" s="11"/>
      <c r="F1" s="11"/>
      <c r="G1" s="11"/>
      <c r="H1" s="11"/>
    </row>
    <row r="2" spans="1:8" ht="22.05" customHeight="1" x14ac:dyDescent="0.3">
      <c r="A2" s="15" t="s">
        <v>139</v>
      </c>
      <c r="B2" s="11"/>
      <c r="C2" s="11"/>
      <c r="D2" s="11"/>
      <c r="E2" s="11"/>
      <c r="F2" s="11"/>
      <c r="G2" s="11"/>
      <c r="H2" s="11"/>
    </row>
    <row r="3" spans="1:8" ht="20" customHeight="1" x14ac:dyDescent="0.3">
      <c r="A3" s="14" t="s">
        <v>140</v>
      </c>
      <c r="B3" s="11"/>
      <c r="C3" s="11"/>
      <c r="D3" s="11"/>
      <c r="E3" s="11"/>
      <c r="F3" s="11"/>
      <c r="G3" s="11"/>
      <c r="H3" s="11"/>
    </row>
    <row r="4" spans="1:8" ht="14.65" x14ac:dyDescent="0.3">
      <c r="A4" s="1" t="s">
        <v>21</v>
      </c>
      <c r="B4" s="1" t="s">
        <v>22</v>
      </c>
      <c r="C4" s="1" t="s">
        <v>23</v>
      </c>
      <c r="D4" s="1" t="s">
        <v>70</v>
      </c>
      <c r="E4" s="1" t="s">
        <v>25</v>
      </c>
      <c r="F4" s="1" t="s">
        <v>45</v>
      </c>
      <c r="G4" s="1" t="s">
        <v>28</v>
      </c>
      <c r="H4" s="1" t="s">
        <v>29</v>
      </c>
    </row>
    <row r="5" spans="1:8" ht="40.049999999999997" customHeight="1" x14ac:dyDescent="0.3">
      <c r="A5" s="6">
        <v>1</v>
      </c>
      <c r="B5" s="20" t="s">
        <v>1</v>
      </c>
      <c r="C5" s="6" t="s">
        <v>30</v>
      </c>
      <c r="D5" s="24">
        <v>257.89999999999998</v>
      </c>
      <c r="E5" s="24">
        <v>57.1</v>
      </c>
      <c r="F5" s="24">
        <v>200.8</v>
      </c>
      <c r="G5" s="7" t="s">
        <v>31</v>
      </c>
      <c r="H5" s="8" t="s">
        <v>71</v>
      </c>
    </row>
    <row r="6" spans="1:8" ht="40.049999999999997" customHeight="1" x14ac:dyDescent="0.3">
      <c r="A6" s="6">
        <v>2</v>
      </c>
      <c r="B6" s="20" t="s">
        <v>2</v>
      </c>
      <c r="C6" s="6" t="s">
        <v>33</v>
      </c>
      <c r="D6" s="24">
        <v>17.5</v>
      </c>
      <c r="E6" s="24">
        <v>-7.6</v>
      </c>
      <c r="F6" s="24">
        <v>25.1</v>
      </c>
      <c r="G6" s="7" t="s">
        <v>31</v>
      </c>
      <c r="H6" s="8" t="s">
        <v>72</v>
      </c>
    </row>
    <row r="7" spans="1:8" ht="40.049999999999997" customHeight="1" x14ac:dyDescent="0.3">
      <c r="A7" s="6">
        <v>3</v>
      </c>
      <c r="B7" s="20" t="s">
        <v>3</v>
      </c>
      <c r="C7" s="6" t="s">
        <v>36</v>
      </c>
      <c r="D7" s="24">
        <v>-4.9000000000000004</v>
      </c>
      <c r="E7" s="24">
        <v>-23.2</v>
      </c>
      <c r="F7" s="24">
        <v>18.3</v>
      </c>
      <c r="G7" s="9" t="s">
        <v>34</v>
      </c>
      <c r="H7" s="8" t="s">
        <v>141</v>
      </c>
    </row>
    <row r="8" spans="1:8" ht="40.049999999999997" customHeight="1" x14ac:dyDescent="0.3">
      <c r="A8" s="6">
        <v>4</v>
      </c>
      <c r="B8" s="20" t="s">
        <v>4</v>
      </c>
      <c r="C8" s="6" t="s">
        <v>38</v>
      </c>
      <c r="D8" s="24">
        <v>2.5</v>
      </c>
      <c r="E8" s="24">
        <v>-13.5</v>
      </c>
      <c r="F8" s="24">
        <v>16</v>
      </c>
      <c r="G8" s="9" t="s">
        <v>34</v>
      </c>
      <c r="H8" s="8" t="s">
        <v>143</v>
      </c>
    </row>
    <row r="9" spans="1:8" ht="40.049999999999997" customHeight="1" x14ac:dyDescent="0.3">
      <c r="A9" s="6">
        <v>5</v>
      </c>
      <c r="B9" s="20" t="s">
        <v>5</v>
      </c>
      <c r="C9" s="6" t="s">
        <v>39</v>
      </c>
      <c r="D9" s="24">
        <v>11.2</v>
      </c>
      <c r="E9" s="24">
        <v>19.2</v>
      </c>
      <c r="F9" s="24">
        <v>-8</v>
      </c>
      <c r="G9" s="9" t="s">
        <v>34</v>
      </c>
      <c r="H9" s="8" t="s">
        <v>73</v>
      </c>
    </row>
    <row r="10" spans="1:8" ht="40.049999999999997" customHeight="1" x14ac:dyDescent="0.3">
      <c r="A10" s="6">
        <v>6</v>
      </c>
      <c r="B10" s="20" t="s">
        <v>6</v>
      </c>
      <c r="C10" s="6" t="s">
        <v>40</v>
      </c>
      <c r="D10" s="6">
        <v>28.7</v>
      </c>
      <c r="E10" s="24">
        <v>1.9</v>
      </c>
      <c r="F10" s="24">
        <v>26.8</v>
      </c>
      <c r="G10" s="7" t="s">
        <v>31</v>
      </c>
      <c r="H10" s="8" t="s">
        <v>142</v>
      </c>
    </row>
    <row r="11" spans="1:8" ht="40.049999999999997" customHeight="1" x14ac:dyDescent="0.3">
      <c r="A11" s="6">
        <v>7</v>
      </c>
      <c r="B11" s="20" t="s">
        <v>7</v>
      </c>
      <c r="C11" s="6" t="s">
        <v>42</v>
      </c>
      <c r="D11" s="24">
        <v>142.6</v>
      </c>
      <c r="E11" s="24">
        <v>105.2</v>
      </c>
      <c r="F11" s="24">
        <v>37.4</v>
      </c>
      <c r="G11" s="7" t="s">
        <v>31</v>
      </c>
      <c r="H11" s="8" t="s">
        <v>74</v>
      </c>
    </row>
  </sheetData>
  <mergeCells count="3">
    <mergeCell ref="A3:H3"/>
    <mergeCell ref="A2:H2"/>
    <mergeCell ref="A1:H1"/>
  </mergeCells>
  <phoneticPr fontId="17" type="noConversion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11"/>
  <sheetViews>
    <sheetView workbookViewId="0">
      <pane ySplit="4" topLeftCell="A7" activePane="bottomLeft" state="frozen"/>
      <selection pane="bottomLeft" activeCell="H8" sqref="H8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6" width="14" customWidth="1"/>
    <col min="7" max="7" width="10" customWidth="1"/>
    <col min="8" max="8" width="46" customWidth="1"/>
  </cols>
  <sheetData>
    <row r="1" spans="1:8" ht="28.05" customHeight="1" x14ac:dyDescent="0.3">
      <c r="A1" s="13" t="s">
        <v>144</v>
      </c>
      <c r="B1" s="11"/>
      <c r="C1" s="11"/>
      <c r="D1" s="11"/>
      <c r="E1" s="11"/>
      <c r="F1" s="11"/>
      <c r="G1" s="11"/>
      <c r="H1" s="11"/>
    </row>
    <row r="2" spans="1:8" ht="22.05" customHeight="1" x14ac:dyDescent="0.3">
      <c r="A2" s="15" t="s">
        <v>145</v>
      </c>
      <c r="B2" s="11"/>
      <c r="C2" s="11"/>
      <c r="D2" s="11"/>
      <c r="E2" s="11"/>
      <c r="F2" s="11"/>
      <c r="G2" s="11"/>
      <c r="H2" s="11"/>
    </row>
    <row r="3" spans="1:8" ht="20" customHeight="1" x14ac:dyDescent="0.3">
      <c r="A3" s="14" t="s">
        <v>125</v>
      </c>
      <c r="B3" s="11"/>
      <c r="C3" s="11"/>
      <c r="D3" s="11"/>
      <c r="E3" s="11"/>
      <c r="F3" s="11"/>
      <c r="G3" s="11"/>
      <c r="H3" s="11"/>
    </row>
    <row r="4" spans="1:8" ht="14.65" x14ac:dyDescent="0.3">
      <c r="A4" s="1" t="s">
        <v>21</v>
      </c>
      <c r="B4" s="1" t="s">
        <v>22</v>
      </c>
      <c r="C4" s="1" t="s">
        <v>23</v>
      </c>
      <c r="D4" s="1" t="s">
        <v>44</v>
      </c>
      <c r="E4" s="1" t="s">
        <v>75</v>
      </c>
      <c r="F4" s="1" t="s">
        <v>25</v>
      </c>
      <c r="G4" s="1" t="s">
        <v>28</v>
      </c>
      <c r="H4" s="1" t="s">
        <v>29</v>
      </c>
    </row>
    <row r="5" spans="1:8" ht="40.049999999999997" customHeight="1" x14ac:dyDescent="0.3">
      <c r="A5" s="6">
        <v>1</v>
      </c>
      <c r="B5" s="20" t="s">
        <v>1</v>
      </c>
      <c r="C5" s="6" t="s">
        <v>30</v>
      </c>
      <c r="D5" s="24">
        <v>202.7</v>
      </c>
      <c r="E5" s="24">
        <v>101.8</v>
      </c>
      <c r="F5" s="24">
        <v>57.1</v>
      </c>
      <c r="G5" s="7" t="s">
        <v>31</v>
      </c>
      <c r="H5" s="8" t="s">
        <v>76</v>
      </c>
    </row>
    <row r="6" spans="1:8" ht="40.049999999999997" customHeight="1" x14ac:dyDescent="0.3">
      <c r="A6" s="6">
        <v>2</v>
      </c>
      <c r="B6" s="20" t="s">
        <v>2</v>
      </c>
      <c r="C6" s="6" t="s">
        <v>33</v>
      </c>
      <c r="D6" s="24">
        <v>-4.5</v>
      </c>
      <c r="E6" s="24">
        <v>-0.9</v>
      </c>
      <c r="F6" s="24">
        <v>-7.6</v>
      </c>
      <c r="G6" s="9" t="s">
        <v>34</v>
      </c>
      <c r="H6" s="8" t="s">
        <v>77</v>
      </c>
    </row>
    <row r="7" spans="1:8" ht="40.049999999999997" customHeight="1" x14ac:dyDescent="0.3">
      <c r="A7" s="6">
        <v>3</v>
      </c>
      <c r="B7" s="20" t="s">
        <v>3</v>
      </c>
      <c r="C7" s="6" t="s">
        <v>36</v>
      </c>
      <c r="D7" s="24">
        <v>-39.6</v>
      </c>
      <c r="E7" s="24">
        <v>-13.8</v>
      </c>
      <c r="F7" s="24">
        <v>-23.2</v>
      </c>
      <c r="G7" s="9" t="s">
        <v>34</v>
      </c>
      <c r="H7" s="8" t="s">
        <v>77</v>
      </c>
    </row>
    <row r="8" spans="1:8" ht="40.049999999999997" customHeight="1" x14ac:dyDescent="0.3">
      <c r="A8" s="6">
        <v>4</v>
      </c>
      <c r="B8" s="20" t="s">
        <v>4</v>
      </c>
      <c r="C8" s="6" t="s">
        <v>38</v>
      </c>
      <c r="D8" s="24">
        <v>-31.3</v>
      </c>
      <c r="E8" s="6">
        <v>12.8</v>
      </c>
      <c r="F8" s="24">
        <v>-13.5</v>
      </c>
      <c r="G8" s="9" t="s">
        <v>34</v>
      </c>
      <c r="H8" s="8" t="s">
        <v>78</v>
      </c>
    </row>
    <row r="9" spans="1:8" ht="40.049999999999997" customHeight="1" x14ac:dyDescent="0.3">
      <c r="A9" s="6">
        <v>5</v>
      </c>
      <c r="B9" s="20" t="s">
        <v>5</v>
      </c>
      <c r="C9" s="6" t="s">
        <v>39</v>
      </c>
      <c r="D9" s="24">
        <v>-6.4</v>
      </c>
      <c r="E9" s="24">
        <v>18.600000000000001</v>
      </c>
      <c r="F9" s="24">
        <v>19.2</v>
      </c>
      <c r="G9" s="9" t="s">
        <v>34</v>
      </c>
      <c r="H9" s="8" t="s">
        <v>77</v>
      </c>
    </row>
    <row r="10" spans="1:8" ht="40.049999999999997" customHeight="1" x14ac:dyDescent="0.3">
      <c r="A10" s="6">
        <v>6</v>
      </c>
      <c r="B10" s="20" t="s">
        <v>6</v>
      </c>
      <c r="C10" s="6" t="s">
        <v>40</v>
      </c>
      <c r="D10" s="6" t="s">
        <v>52</v>
      </c>
      <c r="E10" s="6" t="s">
        <v>79</v>
      </c>
      <c r="F10" s="24">
        <v>1.9</v>
      </c>
      <c r="G10" s="9" t="s">
        <v>34</v>
      </c>
      <c r="H10" s="8" t="s">
        <v>80</v>
      </c>
    </row>
    <row r="11" spans="1:8" ht="40.049999999999997" customHeight="1" x14ac:dyDescent="0.3">
      <c r="A11" s="6">
        <v>7</v>
      </c>
      <c r="B11" s="20" t="s">
        <v>7</v>
      </c>
      <c r="C11" s="6" t="s">
        <v>42</v>
      </c>
      <c r="D11" s="24">
        <v>130.1</v>
      </c>
      <c r="E11" s="24">
        <v>87.3</v>
      </c>
      <c r="F11" s="24">
        <v>105.2</v>
      </c>
      <c r="G11" s="7" t="s">
        <v>31</v>
      </c>
      <c r="H11" s="8" t="s">
        <v>81</v>
      </c>
    </row>
  </sheetData>
  <mergeCells count="3">
    <mergeCell ref="A3:H3"/>
    <mergeCell ref="A2:H2"/>
    <mergeCell ref="A1:H1"/>
  </mergeCells>
  <phoneticPr fontId="17" type="noConversion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1"/>
  <sheetViews>
    <sheetView workbookViewId="0">
      <pane ySplit="4" topLeftCell="A7" activePane="bottomLeft" state="frozen"/>
      <selection pane="bottomLeft" activeCell="A3" sqref="A3:G3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4" width="14" customWidth="1"/>
    <col min="5" max="5" width="16" customWidth="1"/>
    <col min="6" max="6" width="10" customWidth="1"/>
    <col min="7" max="7" width="46" customWidth="1"/>
  </cols>
  <sheetData>
    <row r="1" spans="1:7" ht="28.05" customHeight="1" x14ac:dyDescent="0.3">
      <c r="A1" s="13" t="s">
        <v>160</v>
      </c>
      <c r="B1" s="11"/>
      <c r="C1" s="11"/>
      <c r="D1" s="11"/>
      <c r="E1" s="11"/>
      <c r="F1" s="11"/>
      <c r="G1" s="11"/>
    </row>
    <row r="2" spans="1:7" ht="22.05" customHeight="1" x14ac:dyDescent="0.3">
      <c r="A2" s="15" t="s">
        <v>163</v>
      </c>
      <c r="B2" s="11"/>
      <c r="C2" s="11"/>
      <c r="D2" s="11"/>
      <c r="E2" s="11"/>
      <c r="F2" s="11"/>
      <c r="G2" s="11"/>
    </row>
    <row r="3" spans="1:7" ht="20" customHeight="1" x14ac:dyDescent="0.3">
      <c r="A3" s="14" t="s">
        <v>129</v>
      </c>
      <c r="B3" s="11"/>
      <c r="C3" s="11"/>
      <c r="D3" s="11"/>
      <c r="E3" s="11"/>
      <c r="F3" s="11"/>
      <c r="G3" s="11"/>
    </row>
    <row r="4" spans="1:7" ht="14.65" x14ac:dyDescent="0.3">
      <c r="A4" s="1" t="s">
        <v>21</v>
      </c>
      <c r="B4" s="1" t="s">
        <v>22</v>
      </c>
      <c r="C4" s="1" t="s">
        <v>23</v>
      </c>
      <c r="D4" s="1" t="s">
        <v>25</v>
      </c>
      <c r="E4" s="1" t="s">
        <v>82</v>
      </c>
      <c r="F4" s="1" t="s">
        <v>28</v>
      </c>
      <c r="G4" s="1" t="s">
        <v>29</v>
      </c>
    </row>
    <row r="5" spans="1:7" ht="40.049999999999997" customHeight="1" x14ac:dyDescent="0.3">
      <c r="A5" s="6">
        <v>1</v>
      </c>
      <c r="B5" s="20" t="s">
        <v>1</v>
      </c>
      <c r="C5" s="6" t="s">
        <v>30</v>
      </c>
      <c r="D5" s="24">
        <v>57.1</v>
      </c>
      <c r="E5" s="24">
        <v>41.7</v>
      </c>
      <c r="F5" s="9" t="s">
        <v>34</v>
      </c>
      <c r="G5" s="8" t="s">
        <v>83</v>
      </c>
    </row>
    <row r="6" spans="1:7" ht="40.049999999999997" customHeight="1" x14ac:dyDescent="0.3">
      <c r="A6" s="6">
        <v>2</v>
      </c>
      <c r="B6" s="20" t="s">
        <v>2</v>
      </c>
      <c r="C6" s="6" t="s">
        <v>33</v>
      </c>
      <c r="D6" s="24">
        <v>-7.6</v>
      </c>
      <c r="E6" s="24">
        <v>-2</v>
      </c>
      <c r="F6" s="9" t="s">
        <v>34</v>
      </c>
      <c r="G6" s="8" t="s">
        <v>84</v>
      </c>
    </row>
    <row r="7" spans="1:7" ht="40.049999999999997" customHeight="1" x14ac:dyDescent="0.3">
      <c r="A7" s="6">
        <v>3</v>
      </c>
      <c r="B7" s="20" t="s">
        <v>3</v>
      </c>
      <c r="C7" s="6" t="s">
        <v>36</v>
      </c>
      <c r="D7" s="24">
        <v>-23.2</v>
      </c>
      <c r="E7" s="24">
        <v>106.7</v>
      </c>
      <c r="F7" s="9" t="s">
        <v>34</v>
      </c>
      <c r="G7" s="8" t="s">
        <v>85</v>
      </c>
    </row>
    <row r="8" spans="1:7" ht="40.049999999999997" customHeight="1" x14ac:dyDescent="0.3">
      <c r="A8" s="6">
        <v>4</v>
      </c>
      <c r="B8" s="20" t="s">
        <v>4</v>
      </c>
      <c r="C8" s="6" t="s">
        <v>38</v>
      </c>
      <c r="D8" s="24">
        <v>-13.5</v>
      </c>
      <c r="E8" s="24">
        <v>-2.1</v>
      </c>
      <c r="F8" s="9" t="s">
        <v>34</v>
      </c>
      <c r="G8" s="8" t="s">
        <v>84</v>
      </c>
    </row>
    <row r="9" spans="1:7" ht="40.049999999999997" customHeight="1" x14ac:dyDescent="0.3">
      <c r="A9" s="6">
        <v>5</v>
      </c>
      <c r="B9" s="20" t="s">
        <v>5</v>
      </c>
      <c r="C9" s="6" t="s">
        <v>39</v>
      </c>
      <c r="D9" s="24">
        <v>19.2</v>
      </c>
      <c r="E9" s="24">
        <v>10.3</v>
      </c>
      <c r="F9" s="9" t="s">
        <v>34</v>
      </c>
      <c r="G9" s="8" t="s">
        <v>83</v>
      </c>
    </row>
    <row r="10" spans="1:7" ht="40.049999999999997" customHeight="1" x14ac:dyDescent="0.3">
      <c r="A10" s="6">
        <v>6</v>
      </c>
      <c r="B10" s="20" t="s">
        <v>6</v>
      </c>
      <c r="C10" s="6" t="s">
        <v>40</v>
      </c>
      <c r="D10" s="24">
        <v>1.9</v>
      </c>
      <c r="E10" s="6">
        <v>40</v>
      </c>
      <c r="F10" s="9" t="s">
        <v>34</v>
      </c>
      <c r="G10" s="8" t="s">
        <v>161</v>
      </c>
    </row>
    <row r="11" spans="1:7" ht="40.049999999999997" customHeight="1" x14ac:dyDescent="0.3">
      <c r="A11" s="6">
        <v>7</v>
      </c>
      <c r="B11" s="20" t="s">
        <v>7</v>
      </c>
      <c r="C11" s="6" t="s">
        <v>42</v>
      </c>
      <c r="D11" s="24">
        <v>105.2</v>
      </c>
      <c r="E11" s="6">
        <v>38.9</v>
      </c>
      <c r="F11" s="9" t="s">
        <v>34</v>
      </c>
      <c r="G11" s="8" t="s">
        <v>162</v>
      </c>
    </row>
  </sheetData>
  <mergeCells count="3">
    <mergeCell ref="A3:G3"/>
    <mergeCell ref="A2:G2"/>
    <mergeCell ref="A1:G1"/>
  </mergeCells>
  <phoneticPr fontId="17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11"/>
  <sheetViews>
    <sheetView workbookViewId="0">
      <pane ySplit="4" topLeftCell="A7" activePane="bottomLeft" state="frozen"/>
      <selection pane="bottomLeft" activeCell="G6" sqref="G6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4" width="20" customWidth="1"/>
    <col min="5" max="5" width="22" customWidth="1"/>
    <col min="6" max="6" width="10" customWidth="1"/>
    <col min="7" max="7" width="46" customWidth="1"/>
  </cols>
  <sheetData>
    <row r="1" spans="1:7" ht="28.05" customHeight="1" x14ac:dyDescent="0.3">
      <c r="A1" s="13" t="s">
        <v>157</v>
      </c>
      <c r="B1" s="11"/>
      <c r="C1" s="11"/>
      <c r="D1" s="11"/>
      <c r="E1" s="11"/>
      <c r="F1" s="11"/>
      <c r="G1" s="11"/>
    </row>
    <row r="2" spans="1:7" ht="22.05" customHeight="1" x14ac:dyDescent="0.3">
      <c r="A2" s="15" t="s">
        <v>158</v>
      </c>
      <c r="B2" s="11"/>
      <c r="C2" s="11"/>
      <c r="D2" s="11"/>
      <c r="E2" s="11"/>
      <c r="F2" s="11"/>
      <c r="G2" s="11"/>
    </row>
    <row r="3" spans="1:7" ht="20" customHeight="1" x14ac:dyDescent="0.3">
      <c r="A3" s="14" t="s">
        <v>159</v>
      </c>
      <c r="B3" s="11"/>
      <c r="C3" s="11"/>
      <c r="D3" s="11"/>
      <c r="E3" s="11"/>
      <c r="F3" s="11"/>
      <c r="G3" s="11"/>
    </row>
    <row r="4" spans="1:7" ht="14.65" x14ac:dyDescent="0.3">
      <c r="A4" s="1" t="s">
        <v>148</v>
      </c>
      <c r="B4" s="1" t="s">
        <v>22</v>
      </c>
      <c r="C4" s="1" t="s">
        <v>23</v>
      </c>
      <c r="D4" s="1" t="s">
        <v>86</v>
      </c>
      <c r="E4" s="1" t="s">
        <v>87</v>
      </c>
      <c r="F4" s="1" t="s">
        <v>28</v>
      </c>
      <c r="G4" s="1" t="s">
        <v>29</v>
      </c>
    </row>
    <row r="5" spans="1:7" ht="40.049999999999997" customHeight="1" x14ac:dyDescent="0.3">
      <c r="A5" s="6">
        <v>1</v>
      </c>
      <c r="B5" s="20" t="s">
        <v>1</v>
      </c>
      <c r="C5" s="6" t="s">
        <v>30</v>
      </c>
      <c r="D5" s="6" t="s">
        <v>88</v>
      </c>
      <c r="E5" s="6" t="s">
        <v>89</v>
      </c>
      <c r="F5" s="9" t="s">
        <v>34</v>
      </c>
      <c r="G5" s="8" t="s">
        <v>90</v>
      </c>
    </row>
    <row r="6" spans="1:7" ht="40.049999999999997" customHeight="1" x14ac:dyDescent="0.3">
      <c r="A6" s="6">
        <v>2</v>
      </c>
      <c r="B6" s="20" t="s">
        <v>2</v>
      </c>
      <c r="C6" s="6" t="s">
        <v>33</v>
      </c>
      <c r="D6" s="6" t="s">
        <v>91</v>
      </c>
      <c r="E6" s="6" t="s">
        <v>92</v>
      </c>
      <c r="F6" s="10" t="s">
        <v>54</v>
      </c>
      <c r="G6" s="8" t="s">
        <v>93</v>
      </c>
    </row>
    <row r="7" spans="1:7" ht="40.049999999999997" customHeight="1" x14ac:dyDescent="0.3">
      <c r="A7" s="6">
        <v>3</v>
      </c>
      <c r="B7" s="20" t="s">
        <v>3</v>
      </c>
      <c r="C7" s="6" t="s">
        <v>36</v>
      </c>
      <c r="D7" s="6" t="s">
        <v>94</v>
      </c>
      <c r="E7" s="6" t="s">
        <v>95</v>
      </c>
      <c r="F7" s="9" t="s">
        <v>34</v>
      </c>
      <c r="G7" s="8" t="s">
        <v>96</v>
      </c>
    </row>
    <row r="8" spans="1:7" ht="40.049999999999997" customHeight="1" x14ac:dyDescent="0.3">
      <c r="A8" s="6">
        <v>4</v>
      </c>
      <c r="B8" s="20" t="s">
        <v>4</v>
      </c>
      <c r="C8" s="6" t="s">
        <v>38</v>
      </c>
      <c r="D8" s="6" t="s">
        <v>97</v>
      </c>
      <c r="E8" s="6" t="s">
        <v>98</v>
      </c>
      <c r="F8" s="9" t="s">
        <v>34</v>
      </c>
      <c r="G8" s="8" t="s">
        <v>99</v>
      </c>
    </row>
    <row r="9" spans="1:7" ht="40.049999999999997" customHeight="1" x14ac:dyDescent="0.3">
      <c r="A9" s="6">
        <v>5</v>
      </c>
      <c r="B9" s="20" t="s">
        <v>5</v>
      </c>
      <c r="C9" s="6" t="s">
        <v>39</v>
      </c>
      <c r="D9" s="6" t="s">
        <v>100</v>
      </c>
      <c r="E9" s="6" t="s">
        <v>101</v>
      </c>
      <c r="F9" s="10" t="s">
        <v>54</v>
      </c>
      <c r="G9" s="8" t="s">
        <v>102</v>
      </c>
    </row>
    <row r="10" spans="1:7" ht="40.049999999999997" customHeight="1" x14ac:dyDescent="0.3">
      <c r="A10" s="6">
        <v>6</v>
      </c>
      <c r="B10" s="20" t="s">
        <v>6</v>
      </c>
      <c r="C10" s="6" t="s">
        <v>40</v>
      </c>
      <c r="D10" s="6" t="s">
        <v>103</v>
      </c>
      <c r="E10" s="6" t="s">
        <v>104</v>
      </c>
      <c r="F10" s="9" t="s">
        <v>34</v>
      </c>
      <c r="G10" s="8" t="s">
        <v>99</v>
      </c>
    </row>
    <row r="11" spans="1:7" ht="40.049999999999997" customHeight="1" x14ac:dyDescent="0.3">
      <c r="A11" s="6">
        <v>7</v>
      </c>
      <c r="B11" s="20" t="s">
        <v>7</v>
      </c>
      <c r="C11" s="6" t="s">
        <v>42</v>
      </c>
      <c r="D11" s="6" t="s">
        <v>105</v>
      </c>
      <c r="E11" s="6" t="s">
        <v>106</v>
      </c>
      <c r="F11" s="9" t="s">
        <v>34</v>
      </c>
      <c r="G11" s="8" t="s">
        <v>99</v>
      </c>
    </row>
  </sheetData>
  <mergeCells count="3">
    <mergeCell ref="A3:G3"/>
    <mergeCell ref="A2:G2"/>
    <mergeCell ref="A1:G1"/>
  </mergeCells>
  <phoneticPr fontId="17" type="noConversion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11"/>
  <sheetViews>
    <sheetView workbookViewId="0">
      <pane ySplit="4" topLeftCell="A7" activePane="bottomLeft" state="frozen"/>
      <selection pane="bottomLeft" activeCell="A4" sqref="A4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5" width="12" customWidth="1"/>
    <col min="6" max="6" width="14" customWidth="1"/>
    <col min="7" max="7" width="12" customWidth="1"/>
    <col min="8" max="8" width="10" customWidth="1"/>
    <col min="9" max="9" width="46" customWidth="1"/>
  </cols>
  <sheetData>
    <row r="1" spans="1:9" ht="28.05" customHeight="1" x14ac:dyDescent="0.3">
      <c r="A1" s="13" t="s">
        <v>149</v>
      </c>
      <c r="B1" s="11"/>
      <c r="C1" s="11"/>
      <c r="D1" s="11"/>
      <c r="E1" s="11"/>
      <c r="F1" s="11"/>
      <c r="G1" s="11"/>
      <c r="H1" s="11"/>
      <c r="I1" s="11"/>
    </row>
    <row r="2" spans="1:9" ht="22.05" customHeight="1" x14ac:dyDescent="0.3">
      <c r="A2" s="15" t="s">
        <v>150</v>
      </c>
      <c r="B2" s="11"/>
      <c r="C2" s="11"/>
      <c r="D2" s="11"/>
      <c r="E2" s="11"/>
      <c r="F2" s="11"/>
      <c r="G2" s="11"/>
      <c r="H2" s="11"/>
      <c r="I2" s="11"/>
    </row>
    <row r="3" spans="1:9" ht="20" customHeight="1" x14ac:dyDescent="0.3">
      <c r="A3" s="14" t="s">
        <v>156</v>
      </c>
      <c r="B3" s="11"/>
      <c r="C3" s="11"/>
      <c r="D3" s="11"/>
      <c r="E3" s="11"/>
      <c r="F3" s="11"/>
      <c r="G3" s="11"/>
      <c r="H3" s="11"/>
      <c r="I3" s="11"/>
    </row>
    <row r="4" spans="1:9" ht="14.65" x14ac:dyDescent="0.3">
      <c r="A4" s="1" t="s">
        <v>21</v>
      </c>
      <c r="B4" s="1" t="s">
        <v>22</v>
      </c>
      <c r="C4" s="1" t="s">
        <v>23</v>
      </c>
      <c r="D4" s="1" t="s">
        <v>109</v>
      </c>
      <c r="E4" s="1" t="s">
        <v>110</v>
      </c>
      <c r="F4" s="1" t="s">
        <v>111</v>
      </c>
      <c r="G4" s="1" t="s">
        <v>108</v>
      </c>
      <c r="H4" s="1" t="s">
        <v>28</v>
      </c>
      <c r="I4" s="1" t="s">
        <v>29</v>
      </c>
    </row>
    <row r="5" spans="1:9" ht="40.049999999999997" customHeight="1" x14ac:dyDescent="0.3">
      <c r="A5" s="6">
        <v>1</v>
      </c>
      <c r="B5" s="20" t="s">
        <v>1</v>
      </c>
      <c r="C5" s="6" t="s">
        <v>30</v>
      </c>
      <c r="D5" s="6" t="s">
        <v>112</v>
      </c>
      <c r="E5" s="24">
        <v>11.66</v>
      </c>
      <c r="F5" s="24">
        <v>13.11</v>
      </c>
      <c r="G5" s="28">
        <f>(E5-F5)/F5</f>
        <v>-0.11060259344012199</v>
      </c>
      <c r="H5" s="9" t="s">
        <v>34</v>
      </c>
      <c r="I5" s="8" t="s">
        <v>151</v>
      </c>
    </row>
    <row r="6" spans="1:9" ht="40.049999999999997" customHeight="1" x14ac:dyDescent="0.3">
      <c r="A6" s="6">
        <v>2</v>
      </c>
      <c r="B6" s="20" t="s">
        <v>2</v>
      </c>
      <c r="C6" s="6" t="s">
        <v>33</v>
      </c>
      <c r="D6" s="6" t="s">
        <v>112</v>
      </c>
      <c r="E6" s="24">
        <v>11.56</v>
      </c>
      <c r="F6" s="24">
        <v>18.899999999999999</v>
      </c>
      <c r="G6" s="28">
        <f t="shared" ref="G6:G11" si="0">(E6-F6)/F6</f>
        <v>-0.38835978835978829</v>
      </c>
      <c r="H6" s="10" t="s">
        <v>54</v>
      </c>
      <c r="I6" s="8" t="s">
        <v>152</v>
      </c>
    </row>
    <row r="7" spans="1:9" ht="40.049999999999997" customHeight="1" x14ac:dyDescent="0.3">
      <c r="A7" s="6">
        <v>3</v>
      </c>
      <c r="B7" s="20" t="s">
        <v>3</v>
      </c>
      <c r="C7" s="6" t="s">
        <v>36</v>
      </c>
      <c r="D7" s="6" t="s">
        <v>112</v>
      </c>
      <c r="E7" s="24">
        <v>11.16</v>
      </c>
      <c r="F7" s="24">
        <v>18.760000000000002</v>
      </c>
      <c r="G7" s="28">
        <f t="shared" si="0"/>
        <v>-0.40511727078891263</v>
      </c>
      <c r="H7" s="10" t="s">
        <v>54</v>
      </c>
      <c r="I7" s="8" t="s">
        <v>153</v>
      </c>
    </row>
    <row r="8" spans="1:9" ht="40.049999999999997" customHeight="1" x14ac:dyDescent="0.3">
      <c r="A8" s="6">
        <v>4</v>
      </c>
      <c r="B8" s="20" t="s">
        <v>4</v>
      </c>
      <c r="C8" s="6" t="s">
        <v>38</v>
      </c>
      <c r="D8" s="6" t="s">
        <v>112</v>
      </c>
      <c r="E8" s="24">
        <v>6.29</v>
      </c>
      <c r="F8" s="24">
        <v>28.16</v>
      </c>
      <c r="G8" s="28">
        <f t="shared" si="0"/>
        <v>-0.77663352272727271</v>
      </c>
      <c r="H8" s="7" t="s">
        <v>31</v>
      </c>
      <c r="I8" s="8" t="s">
        <v>154</v>
      </c>
    </row>
    <row r="9" spans="1:9" ht="40.049999999999997" customHeight="1" x14ac:dyDescent="0.3">
      <c r="A9" s="6">
        <v>5</v>
      </c>
      <c r="B9" s="20" t="s">
        <v>5</v>
      </c>
      <c r="C9" s="6" t="s">
        <v>39</v>
      </c>
      <c r="D9" s="6" t="s">
        <v>112</v>
      </c>
      <c r="E9" s="24">
        <v>16.690000000000001</v>
      </c>
      <c r="F9" s="24">
        <v>18.899999999999999</v>
      </c>
      <c r="G9" s="28">
        <f t="shared" si="0"/>
        <v>-0.1169312169312168</v>
      </c>
      <c r="H9" s="9" t="s">
        <v>34</v>
      </c>
      <c r="I9" s="8" t="s">
        <v>151</v>
      </c>
    </row>
    <row r="10" spans="1:9" ht="40.049999999999997" customHeight="1" x14ac:dyDescent="0.3">
      <c r="A10" s="6">
        <v>6</v>
      </c>
      <c r="B10" s="20" t="s">
        <v>6</v>
      </c>
      <c r="C10" s="6" t="s">
        <v>40</v>
      </c>
      <c r="D10" s="6" t="s">
        <v>112</v>
      </c>
      <c r="E10" s="24">
        <v>20.32</v>
      </c>
      <c r="F10" s="24">
        <v>17.739999999999998</v>
      </c>
      <c r="G10" s="28">
        <f t="shared" si="0"/>
        <v>0.14543404735062018</v>
      </c>
      <c r="H10" s="9" t="s">
        <v>34</v>
      </c>
      <c r="I10" s="8" t="s">
        <v>155</v>
      </c>
    </row>
    <row r="11" spans="1:9" ht="40.049999999999997" customHeight="1" x14ac:dyDescent="0.3">
      <c r="A11" s="6">
        <v>7</v>
      </c>
      <c r="B11" s="20" t="s">
        <v>7</v>
      </c>
      <c r="C11" s="6" t="s">
        <v>42</v>
      </c>
      <c r="D11" s="6" t="s">
        <v>112</v>
      </c>
      <c r="E11" s="24">
        <v>11.54</v>
      </c>
      <c r="F11" s="24">
        <v>17.739999999999998</v>
      </c>
      <c r="G11" s="28">
        <f t="shared" si="0"/>
        <v>-0.34949267192784667</v>
      </c>
      <c r="H11" s="10" t="s">
        <v>54</v>
      </c>
      <c r="I11" s="8" t="s">
        <v>152</v>
      </c>
    </row>
  </sheetData>
  <mergeCells count="3">
    <mergeCell ref="A1:I1"/>
    <mergeCell ref="A3:I3"/>
    <mergeCell ref="A2:I2"/>
  </mergeCells>
  <phoneticPr fontId="17" type="noConversion"/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H11"/>
  <sheetViews>
    <sheetView workbookViewId="0">
      <pane ySplit="4" topLeftCell="A5" activePane="bottomLeft" state="frozen"/>
      <selection pane="bottomLeft" activeCell="E12" sqref="E12"/>
    </sheetView>
  </sheetViews>
  <sheetFormatPr defaultRowHeight="13.5" x14ac:dyDescent="0.3"/>
  <cols>
    <col min="1" max="1" width="5" customWidth="1"/>
    <col min="2" max="2" width="12" style="19" customWidth="1"/>
    <col min="3" max="3" width="11" customWidth="1"/>
    <col min="4" max="5" width="14" customWidth="1"/>
    <col min="6" max="6" width="12" customWidth="1"/>
    <col min="7" max="7" width="10" customWidth="1"/>
    <col min="8" max="8" width="46" customWidth="1"/>
  </cols>
  <sheetData>
    <row r="1" spans="1:8" ht="28.05" customHeight="1" x14ac:dyDescent="0.3">
      <c r="A1" s="13" t="s">
        <v>146</v>
      </c>
      <c r="B1" s="11"/>
      <c r="C1" s="11"/>
      <c r="D1" s="11"/>
      <c r="E1" s="11"/>
      <c r="F1" s="11"/>
      <c r="G1" s="11"/>
      <c r="H1" s="11"/>
    </row>
    <row r="2" spans="1:8" ht="22.05" customHeight="1" x14ac:dyDescent="0.3">
      <c r="A2" s="15" t="s">
        <v>147</v>
      </c>
      <c r="B2" s="11"/>
      <c r="C2" s="11"/>
      <c r="D2" s="11"/>
      <c r="E2" s="11"/>
      <c r="F2" s="11"/>
      <c r="G2" s="11"/>
      <c r="H2" s="11"/>
    </row>
    <row r="3" spans="1:8" ht="20" customHeight="1" x14ac:dyDescent="0.3">
      <c r="A3" s="14" t="s">
        <v>129</v>
      </c>
      <c r="B3" s="11"/>
      <c r="C3" s="11"/>
      <c r="D3" s="11"/>
      <c r="E3" s="11"/>
      <c r="F3" s="11"/>
      <c r="G3" s="11"/>
      <c r="H3" s="11"/>
    </row>
    <row r="4" spans="1:8" ht="14.65" x14ac:dyDescent="0.3">
      <c r="A4" s="1" t="s">
        <v>21</v>
      </c>
      <c r="B4" s="1" t="s">
        <v>22</v>
      </c>
      <c r="C4" s="1" t="s">
        <v>23</v>
      </c>
      <c r="D4" s="1" t="s">
        <v>113</v>
      </c>
      <c r="E4" s="1" t="s">
        <v>114</v>
      </c>
      <c r="F4" s="1" t="s">
        <v>115</v>
      </c>
      <c r="G4" s="1" t="s">
        <v>28</v>
      </c>
      <c r="H4" s="1" t="s">
        <v>29</v>
      </c>
    </row>
    <row r="5" spans="1:8" ht="40.049999999999997" customHeight="1" x14ac:dyDescent="0.3">
      <c r="A5" s="6">
        <v>1</v>
      </c>
      <c r="B5" s="20" t="s">
        <v>1</v>
      </c>
      <c r="C5" s="6" t="s">
        <v>30</v>
      </c>
      <c r="D5" s="24">
        <v>0</v>
      </c>
      <c r="E5" s="24">
        <v>2.08</v>
      </c>
      <c r="F5" s="25">
        <v>0</v>
      </c>
      <c r="G5" s="9" t="s">
        <v>34</v>
      </c>
      <c r="H5" s="8" t="s">
        <v>116</v>
      </c>
    </row>
    <row r="6" spans="1:8" ht="40.049999999999997" customHeight="1" x14ac:dyDescent="0.3">
      <c r="A6" s="6">
        <v>2</v>
      </c>
      <c r="B6" s="20" t="s">
        <v>2</v>
      </c>
      <c r="C6" s="6" t="s">
        <v>33</v>
      </c>
      <c r="D6" s="27">
        <v>0.153</v>
      </c>
      <c r="E6" s="24">
        <v>2.38</v>
      </c>
      <c r="F6" s="26">
        <v>6.4000000000000001E-2</v>
      </c>
      <c r="G6" s="9" t="s">
        <v>34</v>
      </c>
      <c r="H6" s="8" t="s">
        <v>117</v>
      </c>
    </row>
    <row r="7" spans="1:8" ht="40.049999999999997" customHeight="1" x14ac:dyDescent="0.3">
      <c r="A7" s="6">
        <v>3</v>
      </c>
      <c r="B7" s="20" t="s">
        <v>3</v>
      </c>
      <c r="C7" s="6" t="s">
        <v>36</v>
      </c>
      <c r="D7" s="24">
        <v>0.18</v>
      </c>
      <c r="E7" s="24">
        <v>2.88</v>
      </c>
      <c r="F7" s="26">
        <v>6.2E-2</v>
      </c>
      <c r="G7" s="9" t="s">
        <v>34</v>
      </c>
      <c r="H7" s="8" t="s">
        <v>117</v>
      </c>
    </row>
    <row r="8" spans="1:8" ht="40.049999999999997" customHeight="1" x14ac:dyDescent="0.3">
      <c r="A8" s="6">
        <v>4</v>
      </c>
      <c r="B8" s="20" t="s">
        <v>4</v>
      </c>
      <c r="C8" s="6" t="s">
        <v>38</v>
      </c>
      <c r="D8" s="6" t="s">
        <v>118</v>
      </c>
      <c r="E8" s="24">
        <v>-4.3499999999999996</v>
      </c>
      <c r="F8" s="6" t="s">
        <v>107</v>
      </c>
      <c r="G8" s="9" t="s">
        <v>34</v>
      </c>
      <c r="H8" s="8" t="s">
        <v>119</v>
      </c>
    </row>
    <row r="9" spans="1:8" ht="40.049999999999997" customHeight="1" x14ac:dyDescent="0.3">
      <c r="A9" s="6">
        <v>5</v>
      </c>
      <c r="B9" s="20" t="s">
        <v>5</v>
      </c>
      <c r="C9" s="6" t="s">
        <v>39</v>
      </c>
      <c r="D9" s="24">
        <v>3.2000000000000001E-2</v>
      </c>
      <c r="E9" s="27">
        <v>0.217</v>
      </c>
      <c r="F9" s="26">
        <v>0.14799999999999999</v>
      </c>
      <c r="G9" s="9" t="s">
        <v>34</v>
      </c>
      <c r="H9" s="8" t="s">
        <v>120</v>
      </c>
    </row>
    <row r="10" spans="1:8" ht="40.049999999999997" customHeight="1" x14ac:dyDescent="0.3">
      <c r="A10" s="6">
        <v>6</v>
      </c>
      <c r="B10" s="20" t="s">
        <v>6</v>
      </c>
      <c r="C10" s="6" t="s">
        <v>40</v>
      </c>
      <c r="D10" s="24">
        <v>0.01</v>
      </c>
      <c r="E10" s="24">
        <v>-4.12</v>
      </c>
      <c r="F10" s="6" t="s">
        <v>107</v>
      </c>
      <c r="G10" s="9" t="s">
        <v>34</v>
      </c>
      <c r="H10" s="8" t="s">
        <v>119</v>
      </c>
    </row>
    <row r="11" spans="1:8" ht="40.049999999999997" customHeight="1" x14ac:dyDescent="0.3">
      <c r="A11" s="6">
        <v>7</v>
      </c>
      <c r="B11" s="20" t="s">
        <v>7</v>
      </c>
      <c r="C11" s="6" t="s">
        <v>42</v>
      </c>
      <c r="D11" s="27">
        <v>0</v>
      </c>
      <c r="E11" s="24">
        <v>-3.07</v>
      </c>
      <c r="F11" s="6" t="s">
        <v>107</v>
      </c>
      <c r="G11" s="9" t="s">
        <v>34</v>
      </c>
      <c r="H11" s="8" t="s">
        <v>119</v>
      </c>
    </row>
  </sheetData>
  <mergeCells count="3">
    <mergeCell ref="A3:H3"/>
    <mergeCell ref="A2:H2"/>
    <mergeCell ref="A1:H1"/>
  </mergeCells>
  <phoneticPr fontId="17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规则扫描总览</vt:lpstr>
      <vt:lpstr> 收入增速远超行业</vt:lpstr>
      <vt:lpstr> 应收增速远超收入</vt:lpstr>
      <vt:lpstr>收入下滑、应收上升、减值未增</vt:lpstr>
      <vt:lpstr>存贷双高</vt:lpstr>
      <vt:lpstr>存货增长远超收入</vt:lpstr>
      <vt:lpstr>应收应付同时大幅增长</vt:lpstr>
      <vt:lpstr>销售费用与收入背离</vt:lpstr>
      <vt:lpstr>净利润正但经营现金流负</vt:lpstr>
      <vt:lpstr>关键指标与行业趋势不符</vt:lpstr>
      <vt:lpstr>所得税与利润不匹配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 李</cp:lastModifiedBy>
  <dcterms:created xsi:type="dcterms:W3CDTF">2026-10-15T03:49:43Z</dcterms:created>
  <dcterms:modified xsi:type="dcterms:W3CDTF">2026-10-15T08:25:29Z</dcterms:modified>
</cp:coreProperties>
</file>