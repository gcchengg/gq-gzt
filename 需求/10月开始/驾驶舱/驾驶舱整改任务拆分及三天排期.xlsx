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 activeTab="1"/>
  </bookViews>
  <sheets>
    <sheet name="排期汇总" sheetId="1" r:id="rId1"/>
    <sheet name="任务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<sst xmlns="http://schemas.openxmlformats.org/spreadsheetml/2006/main" count="207" uniqueCount="142">
  <si>
    <t>驾驶舱整改任务三天排期</t>
  </si>
  <si>
    <t>按第1～3天排期，未指定开工日期；单位为小时。</t>
  </si>
  <si>
    <t>岗位</t>
  </si>
  <si>
    <t>负责人</t>
  </si>
  <si>
    <t>第1天</t>
  </si>
  <si>
    <t>第2天</t>
  </si>
  <si>
    <t>第3天</t>
  </si>
  <si>
    <t>合计工时</t>
  </si>
  <si>
    <t>天数</t>
  </si>
  <si>
    <t>每日标准工时</t>
  </si>
  <si>
    <t>目标工时</t>
  </si>
  <si>
    <t>差额工时</t>
  </si>
  <si>
    <t>前端</t>
  </si>
  <si>
    <t>郭春成</t>
  </si>
  <si>
    <t>后端</t>
  </si>
  <si>
    <t>王振华/崔洋</t>
  </si>
  <si>
    <t>合计</t>
  </si>
  <si>
    <t>2人</t>
  </si>
  <si>
    <t>工时包含开发、自测、联调和回归。每人12项任务，单项2～3小时。</t>
  </si>
  <si>
    <t>安排与口径</t>
  </si>
  <si>
    <t>第1天：权限、资本运作、企业数量、资产负债率取数，以及图表样式调整。</t>
  </si>
  <si>
    <t>第2天：3处下钻页面及接口开发，完成审计数据范围修正。</t>
  </si>
  <si>
    <t>第3天：项目进展、计划明细导出、2021年数据核查，以及全量联调回归。</t>
  </si>
  <si>
    <t>权限假设：括号中的胡吉帅、路正明为允许修改的两人；账号映射在实施时核对。</t>
  </si>
  <si>
    <t>历史数据：有2021年数据才前移；已完成数量以系统实际可取得数据为准。</t>
  </si>
  <si>
    <t>接口协作：先约定字段，前端可用模拟数据并行开发，接口就绪后完成联调。</t>
  </si>
  <si>
    <t>估算前提：复用现有图表、下钻表格及导出能力；具体取数口径在相关任务内核对。</t>
  </si>
  <si>
    <t>工时约束：G7:H8为可调整的容量输入；工时和差额自动汇总。来源为本次需求。</t>
  </si>
  <si>
    <t>驾驶舱整改任务明细</t>
  </si>
  <si>
    <t>每日9小时；单项2～3小时；工时包含任务内自测。第3天集中联调与回归。</t>
  </si>
  <si>
    <t>任务编号</t>
  </si>
  <si>
    <t>计划日</t>
  </si>
  <si>
    <t>模块</t>
  </si>
  <si>
    <t>任务内容</t>
  </si>
  <si>
    <t>工时(小时)</t>
  </si>
  <si>
    <t>交付及验收标准</t>
  </si>
  <si>
    <t>依赖及协作</t>
  </si>
  <si>
    <t>FE01</t>
  </si>
  <si>
    <t>经营总览</t>
  </si>
  <si>
    <t>手动编辑入口权限控制</t>
  </si>
  <si>
    <t>仅胡吉帅、路正明显示可编辑状态；其他账号无修改入口。</t>
  </si>
  <si>
    <t>对接 BE01；名单按括号理解</t>
  </si>
  <si>
    <t>FE02</t>
  </si>
  <si>
    <t>资本运作完成数展示与卡片布局</t>
  </si>
  <si>
    <t>展示“已完成XX个”；数量以系统可取得数据为准；后三个卡片等宽等高。</t>
  </si>
  <si>
    <t>对接 BE02</t>
  </si>
  <si>
    <t>FE03</t>
  </si>
  <si>
    <t>国资监管指标</t>
  </si>
  <si>
    <t>企业数量展示替换</t>
  </si>
  <si>
    <t>将占比改为企业数量；标签、单位、提示及接口字段同步调整。</t>
  </si>
  <si>
    <t>对接 BE03</t>
  </si>
  <si>
    <t>FE04</t>
  </si>
  <si>
    <t>分红情况及各图表模块</t>
  </si>
  <si>
    <t>统一分红柱宽并取消图表网格线</t>
  </si>
  <si>
    <t>2026年分红柱宽与左侧视觉一致；利润贡献等全部图表取消网格线。</t>
  </si>
  <si>
    <t>覆盖各图表组件及覆盖配置</t>
  </si>
  <si>
    <t>FE05</t>
  </si>
  <si>
    <t>参股经营指标</t>
  </si>
  <si>
    <t>资产负债率显示修正</t>
  </si>
  <si>
    <t>修正字段映射、百分比及空值显示；与后端同口径核对样本。</t>
  </si>
  <si>
    <t>对接 BE04</t>
  </si>
  <si>
    <t>FE06</t>
  </si>
  <si>
    <t>资产负债率下钻页面开发</t>
  </si>
  <si>
    <t>点击进入明细；展示公司名称、财报月份、总资产、总负债、资产负债率。</t>
  </si>
  <si>
    <t>对接 BE05；完成分页与空态</t>
  </si>
  <si>
    <t>FE07</t>
  </si>
  <si>
    <t>监督控制</t>
  </si>
  <si>
    <t>审议议题数量下钻页面开发</t>
  </si>
  <si>
    <t>展示参股公司名称、议题名称、审议时间、审议结果、管理建议。</t>
  </si>
  <si>
    <t>对接 BE06；共用明细表组件</t>
  </si>
  <si>
    <t>FE08</t>
  </si>
  <si>
    <t>计划逾期数量下钻页面开发</t>
  </si>
  <si>
    <t>展示参股公司名称、议题名称、审议时间、审议结果、管理建议；明细符合逾期筛选。</t>
  </si>
  <si>
    <t>对接 BE07；复用 FE07 组件</t>
  </si>
  <si>
    <t>FE09</t>
  </si>
  <si>
    <t>审计整改数据展示与范围核验</t>
  </si>
  <si>
    <t>仅展示一汽股权、一汽集团对参股公司的审计结果；核验排除样本。</t>
  </si>
  <si>
    <t>对接 BE08</t>
  </si>
  <si>
    <t>FE10</t>
  </si>
  <si>
    <t>项目进展数据对接与核对</t>
  </si>
  <si>
    <t>接入修正后的项目进展数据；核对汇总、明细和状态展示。</t>
  </si>
  <si>
    <t>对接 BE09</t>
  </si>
  <si>
    <t>FE11</t>
  </si>
  <si>
    <t>计划表明细导出入口与下载</t>
  </si>
  <si>
    <t>可下载当前系统提取的计划表明细；核验筛选条件、文件名与异常提示。</t>
  </si>
  <si>
    <t>对接 BE10；接口就绪后核验</t>
  </si>
  <si>
    <t>FE12</t>
  </si>
  <si>
    <t>利润贡献及全模块</t>
  </si>
  <si>
    <t>利润年份调整、全量联调与回归</t>
  </si>
  <si>
    <t>有2021年数据则从2021年展示；核验权限、3处下钻、导出及全部图表。</t>
  </si>
  <si>
    <t>对接 BE11、BE12；记录验收结果</t>
  </si>
  <si>
    <t>BE01</t>
  </si>
  <si>
    <r>
      <t>王振华</t>
    </r>
    <r>
      <rPr>
        <sz val="11"/>
        <color rgb="FF24344B"/>
        <rFont val="Arial"/>
        <charset val="134"/>
      </rPr>
      <t>/</t>
    </r>
    <r>
      <rPr>
        <sz val="11"/>
        <color rgb="FF24344B"/>
        <rFont val="宋体-简"/>
        <charset val="134"/>
      </rPr>
      <t>崔洋</t>
    </r>
  </si>
  <si>
    <t>手动编辑接口权限校验</t>
  </si>
  <si>
    <t>按胡吉帅、路正明账号校验修改权限；非名单账号调用修改接口被拒绝。</t>
  </si>
  <si>
    <t>与 FE01 约定权限返回字段</t>
  </si>
  <si>
    <t>BE02</t>
  </si>
  <si>
    <t>资本运作已完成数量取数</t>
  </si>
  <si>
    <t>梳理可取得的完成状态数据；完成数按既有状态口径汇总并提供接口字段。</t>
  </si>
  <si>
    <t>与 FE02 同步可取数范围</t>
  </si>
  <si>
    <t>BE03</t>
  </si>
  <si>
    <t>企业数量统计接口调整</t>
  </si>
  <si>
    <t>将比例返回改为企业数量字段；核对统计范围、企业去重及样本数量。</t>
  </si>
  <si>
    <t>与 FE03 同步字段与计量单位</t>
  </si>
  <si>
    <t>BE04</t>
  </si>
  <si>
    <t>资产负债率错误定位与取数修正</t>
  </si>
  <si>
    <t>核对财报月份、总资产、总负债及计算口径；校验零值、空值与重复记录。</t>
  </si>
  <si>
    <t>供 FE05；同步下钻字段契约</t>
  </si>
  <si>
    <t>BE05</t>
  </si>
  <si>
    <t>资产负债率下钻明细接口</t>
  </si>
  <si>
    <t>返回公司名称、财报月份、总资产、总负债、资产负债率；与主指标同口径。</t>
  </si>
  <si>
    <t>依赖 BE04；供 FE06</t>
  </si>
  <si>
    <t>BE06</t>
  </si>
  <si>
    <t>审议议题数量下钻接口</t>
  </si>
  <si>
    <t>返回参股公司名称、议题名称、审议时间、审议结果、管理建议及分页信息。</t>
  </si>
  <si>
    <t>供 FE07；核对数量与明细</t>
  </si>
  <si>
    <t>BE07</t>
  </si>
  <si>
    <t>计划逾期数量下钻接口</t>
  </si>
  <si>
    <t>返回参股公司名称、议题名称、审议时间、审议结果、管理建议；核对逾期筛选和数量。</t>
  </si>
  <si>
    <t>供 FE08；复用 BE06 字段结构</t>
  </si>
  <si>
    <t>BE08</t>
  </si>
  <si>
    <t>审计整改取数范围修正</t>
  </si>
  <si>
    <t>仅保留一汽股权、一汽集团对参股公司的审计结果；排除针对一汽股权自身的审计。</t>
  </si>
  <si>
    <t>供 FE09；核对主体及被审计对象</t>
  </si>
  <si>
    <t>BE09</t>
  </si>
  <si>
    <t>项目进展取数逻辑修正</t>
  </si>
  <si>
    <t>定位取数错误，修正关联、状态及汇总逻辑；输出可核对样本。</t>
  </si>
  <si>
    <t>供 FE10；实施前核对业务口径</t>
  </si>
  <si>
    <t>BE10</t>
  </si>
  <si>
    <t>系统提数计划表明细导出</t>
  </si>
  <si>
    <t>提供明细导出；字段以当前系统计划表为准；导出与当前提数和筛选一致。</t>
  </si>
  <si>
    <t>供 FE11；核对字段、行数与样本</t>
  </si>
  <si>
    <t>BE11</t>
  </si>
  <si>
    <t>利润贡献</t>
  </si>
  <si>
    <t>2021年历史数据核查与年份调整</t>
  </si>
  <si>
    <t>查明为何从2022年开始；有2021年数据则纳入返回，无数据记录核查结论。</t>
  </si>
  <si>
    <t>供 FE12；不得补造历史数据</t>
  </si>
  <si>
    <t>BE12</t>
  </si>
  <si>
    <t>全模块</t>
  </si>
  <si>
    <t>接口联调、数据核对与缺陷回归</t>
  </si>
  <si>
    <t>完成权限、完成数、企业数、资产负债率、审计、进展、3处下钻及导出回归。</t>
  </si>
  <si>
    <t>与 FE12 联调并记录结果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</si>
</sst>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第&quot;0&quot;天&quot;"/>
  </numFmts>
  <fonts count="28">
    <font>
      <sz val="11"/>
      <name val="Carlito"/>
      <charset val="134"/>
    </font>
    <font>
      <sz val="11"/>
      <color rgb="FF24344B"/>
      <name val="Arial"/>
      <charset val="134"/>
    </font>
    <font>
      <b/>
      <sz val="16"/>
      <color rgb="FF263E5A"/>
      <name val="Arial"/>
      <charset val="134"/>
    </font>
    <font>
      <i/>
      <sz val="11"/>
      <color rgb="FF24344B"/>
      <name val="Arial"/>
      <charset val="134"/>
    </font>
    <font>
      <b/>
      <sz val="11"/>
      <color rgb="FFFFFFFF"/>
      <name val="Arial"/>
      <charset val="134"/>
    </font>
    <font>
      <sz val="11"/>
      <color rgb="FF24344B"/>
      <name val="宋体-简"/>
      <charset val="134"/>
    </font>
    <font>
      <i/>
      <sz val="11"/>
      <color rgb="FF62748A"/>
      <name val="Arial"/>
      <charset val="134"/>
    </font>
    <font>
      <b/>
      <sz val="11"/>
      <color rgb="FF24344B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63E5A"/>
        <bgColor indexed="64"/>
      </patternFill>
    </fill>
    <fill>
      <patternFill patternType="solid">
        <fgColor rgb="FFF0F4F9"/>
        <bgColor indexed="64"/>
      </patternFill>
    </fill>
    <fill>
      <patternFill patternType="solid">
        <fgColor rgb="FFFFF3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9BAEC3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9BAEC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8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0" fillId="0" borderId="0"/>
  </cellStyleXfs>
  <cellXfs count="32">
    <xf numFmtId="0" fontId="0" fillId="0" borderId="0" xfId="49"/>
    <xf numFmtId="0" fontId="1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/>
    </xf>
    <xf numFmtId="0" fontId="1" fillId="0" borderId="1" xfId="49" applyNumberFormat="1" applyFont="1" applyFill="1" applyBorder="1" applyAlignment="1">
      <alignment vertical="center"/>
    </xf>
    <xf numFmtId="0" fontId="3" fillId="0" borderId="0" xfId="49" applyNumberFormat="1" applyFont="1" applyFill="1" applyBorder="1" applyAlignment="1">
      <alignment vertical="center"/>
    </xf>
    <xf numFmtId="0" fontId="4" fillId="2" borderId="2" xfId="49" applyNumberFormat="1" applyFont="1" applyFill="1" applyBorder="1" applyAlignment="1">
      <alignment horizontal="center" vertical="center"/>
    </xf>
    <xf numFmtId="0" fontId="4" fillId="2" borderId="3" xfId="49" applyNumberFormat="1" applyFont="1" applyFill="1" applyBorder="1" applyAlignment="1">
      <alignment horizontal="center" vertical="center"/>
    </xf>
    <xf numFmtId="0" fontId="4" fillId="2" borderId="4" xfId="49" applyNumberFormat="1" applyFont="1" applyFill="1" applyBorder="1" applyAlignment="1">
      <alignment horizontal="center" vertical="center"/>
    </xf>
    <xf numFmtId="0" fontId="1" fillId="0" borderId="5" xfId="49" applyNumberFormat="1" applyFont="1" applyFill="1" applyBorder="1" applyAlignment="1">
      <alignment vertical="center" wrapText="1"/>
    </xf>
    <xf numFmtId="176" fontId="1" fillId="0" borderId="5" xfId="49" applyNumberFormat="1" applyFont="1" applyFill="1" applyBorder="1" applyAlignment="1">
      <alignment horizontal="center" vertical="center" wrapText="1"/>
    </xf>
    <xf numFmtId="0" fontId="1" fillId="0" borderId="5" xfId="49" applyNumberFormat="1" applyFont="1" applyFill="1" applyBorder="1" applyAlignment="1">
      <alignment horizontal="center" vertical="center" wrapText="1"/>
    </xf>
    <xf numFmtId="1" fontId="1" fillId="0" borderId="5" xfId="49" applyNumberFormat="1" applyFont="1" applyFill="1" applyBorder="1" applyAlignment="1">
      <alignment horizontal="right" vertical="center" wrapText="1"/>
    </xf>
    <xf numFmtId="0" fontId="1" fillId="0" borderId="0" xfId="49" applyNumberFormat="1" applyFont="1" applyFill="1" applyBorder="1" applyAlignment="1">
      <alignment vertical="center" wrapText="1"/>
    </xf>
    <xf numFmtId="176" fontId="1" fillId="0" borderId="0" xfId="49" applyNumberFormat="1" applyFont="1" applyFill="1" applyBorder="1" applyAlignment="1">
      <alignment horizontal="center" vertical="center" wrapText="1"/>
    </xf>
    <xf numFmtId="0" fontId="1" fillId="0" borderId="0" xfId="49" applyNumberFormat="1" applyFont="1" applyFill="1" applyBorder="1" applyAlignment="1">
      <alignment horizontal="center" vertical="center" wrapText="1"/>
    </xf>
    <xf numFmtId="1" fontId="1" fillId="0" borderId="0" xfId="49" applyNumberFormat="1" applyFont="1" applyFill="1" applyBorder="1" applyAlignment="1">
      <alignment horizontal="right" vertical="center" wrapText="1"/>
    </xf>
    <xf numFmtId="0" fontId="1" fillId="3" borderId="5" xfId="49" applyNumberFormat="1" applyFont="1" applyFill="1" applyBorder="1" applyAlignment="1">
      <alignment vertical="center" wrapText="1"/>
    </xf>
    <xf numFmtId="176" fontId="1" fillId="3" borderId="5" xfId="49" applyNumberFormat="1" applyFont="1" applyFill="1" applyBorder="1" applyAlignment="1">
      <alignment horizontal="center" vertical="center" wrapText="1"/>
    </xf>
    <xf numFmtId="0" fontId="1" fillId="3" borderId="5" xfId="49" applyNumberFormat="1" applyFont="1" applyFill="1" applyBorder="1" applyAlignment="1">
      <alignment horizontal="center" vertical="center" wrapText="1"/>
    </xf>
    <xf numFmtId="1" fontId="1" fillId="3" borderId="5" xfId="49" applyNumberFormat="1" applyFont="1" applyFill="1" applyBorder="1" applyAlignment="1">
      <alignment horizontal="right" vertical="center" wrapText="1"/>
    </xf>
    <xf numFmtId="0" fontId="1" fillId="3" borderId="0" xfId="49" applyNumberFormat="1" applyFont="1" applyFill="1" applyBorder="1" applyAlignment="1">
      <alignment vertical="center" wrapText="1"/>
    </xf>
    <xf numFmtId="176" fontId="1" fillId="3" borderId="0" xfId="49" applyNumberFormat="1" applyFont="1" applyFill="1" applyBorder="1" applyAlignment="1">
      <alignment horizontal="center" vertical="center" wrapText="1"/>
    </xf>
    <xf numFmtId="0" fontId="1" fillId="3" borderId="0" xfId="49" applyNumberFormat="1" applyFont="1" applyFill="1" applyBorder="1" applyAlignment="1">
      <alignment horizontal="center" vertical="center" wrapText="1"/>
    </xf>
    <xf numFmtId="1" fontId="1" fillId="3" borderId="0" xfId="49" applyNumberFormat="1" applyFont="1" applyFill="1" applyBorder="1" applyAlignment="1">
      <alignment horizontal="right" vertical="center" wrapText="1"/>
    </xf>
    <xf numFmtId="0" fontId="5" fillId="0" borderId="5" xfId="49" applyNumberFormat="1" applyFont="1" applyFill="1" applyBorder="1" applyAlignment="1">
      <alignment horizontal="center" vertical="center" wrapText="1"/>
    </xf>
    <xf numFmtId="0" fontId="6" fillId="0" borderId="0" xfId="49" applyNumberFormat="1" applyFont="1" applyFill="1" applyBorder="1" applyAlignment="1">
      <alignment vertical="center"/>
    </xf>
    <xf numFmtId="1" fontId="1" fillId="0" borderId="0" xfId="49" applyNumberFormat="1" applyFont="1" applyFill="1" applyBorder="1" applyAlignment="1">
      <alignment horizontal="right" vertical="center"/>
    </xf>
    <xf numFmtId="1" fontId="1" fillId="4" borderId="0" xfId="49" applyNumberFormat="1" applyFont="1" applyFill="1" applyBorder="1" applyAlignment="1">
      <alignment horizontal="right" vertical="center"/>
    </xf>
    <xf numFmtId="0" fontId="5" fillId="0" borderId="0" xfId="49" applyNumberFormat="1" applyFont="1" applyFill="1" applyBorder="1" applyAlignment="1">
      <alignment vertical="center"/>
    </xf>
    <xf numFmtId="0" fontId="7" fillId="3" borderId="0" xfId="49" applyNumberFormat="1" applyFont="1" applyFill="1" applyBorder="1" applyAlignment="1">
      <alignment vertical="center"/>
    </xf>
    <xf numFmtId="1" fontId="7" fillId="3" borderId="0" xfId="49" applyNumberFormat="1" applyFont="1" applyFill="1" applyBorder="1" applyAlignment="1">
      <alignment horizontal="right" vertical="center"/>
    </xf>
    <xf numFmtId="0" fontId="7" fillId="0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b val="1"/>
        <color rgb="FFAE2525"/>
      </font>
      <fill>
        <patternFill patternType="solid">
          <bgColor rgb="FFFDE7E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ockpitTasks" displayName="CockpitTasks" ref="A6:I30" totalsRowShown="0">
  <autoFilter xmlns:etc="http://www.wps.cn/officeDocument/2017/etCustomData" ref="A6:I30" etc:filterBottomFollowUsedRange="0"/>
  <tableColumns count="9">
    <tableColumn id="1" name="任务编号"/>
    <tableColumn id="2" name="计划日"/>
    <tableColumn id="3" name="岗位"/>
    <tableColumn id="4" name="负责人"/>
    <tableColumn id="5" name="模块"/>
    <tableColumn id="6" name="任务内容"/>
    <tableColumn id="7" name="工时(小时)"/>
    <tableColumn id="8" name="交付及验收标准"/>
    <tableColumn id="9" name="依赖及协作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63E5A"/>
  </sheetPr>
  <dimension ref="A1:J21"/>
  <sheetViews>
    <sheetView showGridLines="0" workbookViewId="0">
      <selection activeCell="H12" sqref="H12"/>
    </sheetView>
  </sheetViews>
  <sheetFormatPr defaultColWidth="9" defaultRowHeight="16.8"/>
  <cols>
    <col min="1" max="1" width="10" customWidth="1"/>
    <col min="2" max="2" width="13" customWidth="1"/>
    <col min="3" max="5" width="11" customWidth="1"/>
    <col min="6" max="6" width="13" customWidth="1"/>
    <col min="7" max="7" width="12" customWidth="1"/>
    <col min="8" max="8" width="15" customWidth="1"/>
    <col min="9" max="10" width="13" customWidth="1"/>
  </cols>
  <sheetData>
    <row r="1" ht="26" customHeight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ht="26" customHeight="1" spans="1:10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</row>
    <row r="3" ht="26" customHeight="1" spans="1:10">
      <c r="A3" s="3"/>
      <c r="B3" s="3"/>
      <c r="C3" s="3"/>
      <c r="D3" s="3"/>
      <c r="E3" s="3"/>
      <c r="F3" s="3"/>
      <c r="G3" s="3"/>
      <c r="H3" s="3"/>
      <c r="I3" s="3"/>
      <c r="J3" s="3"/>
    </row>
    <row r="4" ht="26" customHeight="1" spans="1:10">
      <c r="A4" s="25" t="s">
        <v>1</v>
      </c>
      <c r="B4" s="1"/>
      <c r="C4" s="1"/>
      <c r="D4" s="1"/>
      <c r="E4" s="1"/>
      <c r="F4" s="1"/>
      <c r="G4" s="1"/>
      <c r="H4" s="1"/>
      <c r="I4" s="1"/>
      <c r="J4" s="1"/>
    </row>
    <row r="5" ht="26" customHeight="1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ht="31" customHeight="1" spans="1:10">
      <c r="A6" s="5" t="s">
        <v>2</v>
      </c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  <c r="H6" s="6" t="s">
        <v>9</v>
      </c>
      <c r="I6" s="6" t="s">
        <v>10</v>
      </c>
      <c r="J6" s="7" t="s">
        <v>11</v>
      </c>
    </row>
    <row r="7" ht="26" customHeight="1" spans="1:10">
      <c r="A7" s="1" t="s">
        <v>12</v>
      </c>
      <c r="B7" s="1" t="s">
        <v>13</v>
      </c>
      <c r="C7" s="26">
        <v>8</v>
      </c>
      <c r="D7" s="26">
        <v>8</v>
      </c>
      <c r="E7" s="26">
        <v>8</v>
      </c>
      <c r="F7" s="26">
        <f>SUM(C7:E7)</f>
        <v>24</v>
      </c>
      <c r="G7" s="27">
        <v>3</v>
      </c>
      <c r="H7" s="27">
        <v>8</v>
      </c>
      <c r="I7" s="26">
        <f>G7*H7</f>
        <v>24</v>
      </c>
      <c r="J7" s="26">
        <f>F7-I7</f>
        <v>0</v>
      </c>
    </row>
    <row r="8" ht="26" customHeight="1" spans="1:10">
      <c r="A8" s="1" t="s">
        <v>14</v>
      </c>
      <c r="B8" s="28" t="s">
        <v>15</v>
      </c>
      <c r="C8" s="26">
        <v>8</v>
      </c>
      <c r="D8" s="26">
        <v>8</v>
      </c>
      <c r="E8" s="26">
        <v>8</v>
      </c>
      <c r="F8" s="26">
        <f>SUM(C8:E8)</f>
        <v>24</v>
      </c>
      <c r="G8" s="27">
        <v>3</v>
      </c>
      <c r="H8" s="27">
        <v>8</v>
      </c>
      <c r="I8" s="26">
        <f>G8*H8</f>
        <v>24</v>
      </c>
      <c r="J8" s="26">
        <f>F8-I8</f>
        <v>0</v>
      </c>
    </row>
    <row r="9" ht="26" customHeight="1" spans="1:10">
      <c r="A9" s="29" t="s">
        <v>16</v>
      </c>
      <c r="B9" s="29" t="s">
        <v>17</v>
      </c>
      <c r="C9" s="30">
        <f>SUM(C7:C8)</f>
        <v>16</v>
      </c>
      <c r="D9" s="30">
        <f>SUM(D7:D8)</f>
        <v>16</v>
      </c>
      <c r="E9" s="30">
        <f>SUM(E7:E8)</f>
        <v>16</v>
      </c>
      <c r="F9" s="30">
        <f>SUM(F7:F8)</f>
        <v>48</v>
      </c>
      <c r="G9" s="30"/>
      <c r="H9" s="30"/>
      <c r="I9" s="30">
        <f>SUM(I7:I8)</f>
        <v>48</v>
      </c>
      <c r="J9" s="30">
        <f>SUM(J7:J8)</f>
        <v>0</v>
      </c>
    </row>
    <row r="10" ht="26" customHeight="1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ht="26" customHeight="1" spans="1:10">
      <c r="A11" s="1" t="s">
        <v>18</v>
      </c>
      <c r="B11" s="1"/>
      <c r="C11" s="1"/>
      <c r="D11" s="1"/>
      <c r="E11" s="1"/>
      <c r="F11" s="1"/>
      <c r="G11" s="1"/>
      <c r="H11" s="1"/>
      <c r="I11" s="1"/>
      <c r="J11" s="1"/>
    </row>
    <row r="12" ht="26" customHeight="1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ht="26" customHeight="1" spans="1:10">
      <c r="A13" s="31" t="s">
        <v>19</v>
      </c>
      <c r="B13" s="1"/>
      <c r="C13" s="1"/>
      <c r="D13" s="1"/>
      <c r="E13" s="1"/>
      <c r="F13" s="1"/>
      <c r="G13" s="1"/>
      <c r="H13" s="1"/>
      <c r="I13" s="1"/>
      <c r="J13" s="1"/>
    </row>
    <row r="14" ht="28" customHeight="1" spans="1:10">
      <c r="A14" s="1" t="s">
        <v>20</v>
      </c>
      <c r="B14" s="1"/>
      <c r="C14" s="1"/>
      <c r="D14" s="1"/>
      <c r="E14" s="1"/>
      <c r="F14" s="1"/>
      <c r="G14" s="1"/>
      <c r="H14" s="1"/>
      <c r="I14" s="1"/>
      <c r="J14" s="1"/>
    </row>
    <row r="15" ht="28" customHeight="1" spans="1:10">
      <c r="A15" s="1" t="s">
        <v>21</v>
      </c>
      <c r="B15" s="1"/>
      <c r="C15" s="1"/>
      <c r="D15" s="1"/>
      <c r="E15" s="1"/>
      <c r="F15" s="1"/>
      <c r="G15" s="1"/>
      <c r="H15" s="1"/>
      <c r="I15" s="1"/>
      <c r="J15" s="1"/>
    </row>
    <row r="16" ht="28" customHeight="1" spans="1:10">
      <c r="A16" s="1" t="s">
        <v>22</v>
      </c>
      <c r="B16" s="1"/>
      <c r="C16" s="1"/>
      <c r="D16" s="1"/>
      <c r="E16" s="1"/>
      <c r="F16" s="1"/>
      <c r="G16" s="1"/>
      <c r="H16" s="1"/>
      <c r="I16" s="1"/>
      <c r="J16" s="1"/>
    </row>
    <row r="17" ht="28" customHeight="1" spans="1:10">
      <c r="A17" s="1" t="s">
        <v>23</v>
      </c>
      <c r="B17" s="1"/>
      <c r="C17" s="1"/>
      <c r="D17" s="1"/>
      <c r="E17" s="1"/>
      <c r="F17" s="1"/>
      <c r="G17" s="1"/>
      <c r="H17" s="1"/>
      <c r="I17" s="1"/>
      <c r="J17" s="1"/>
    </row>
    <row r="18" ht="28" customHeight="1" spans="1:10">
      <c r="A18" s="1" t="s">
        <v>24</v>
      </c>
      <c r="B18" s="1"/>
      <c r="C18" s="1"/>
      <c r="D18" s="1"/>
      <c r="E18" s="1"/>
      <c r="F18" s="1"/>
      <c r="G18" s="1"/>
      <c r="H18" s="1"/>
      <c r="I18" s="1"/>
      <c r="J18" s="1"/>
    </row>
    <row r="19" ht="28" customHeight="1" spans="1:10">
      <c r="A19" s="1" t="s">
        <v>25</v>
      </c>
      <c r="B19" s="1"/>
      <c r="C19" s="1"/>
      <c r="D19" s="1"/>
      <c r="E19" s="1"/>
      <c r="F19" s="1"/>
      <c r="G19" s="1"/>
      <c r="H19" s="1"/>
      <c r="I19" s="1"/>
      <c r="J19" s="1"/>
    </row>
    <row r="20" ht="28" customHeight="1" spans="1:10">
      <c r="A20" s="1" t="s">
        <v>26</v>
      </c>
      <c r="B20" s="1"/>
      <c r="C20" s="1"/>
      <c r="D20" s="1"/>
      <c r="E20" s="1"/>
      <c r="F20" s="1"/>
      <c r="G20" s="1"/>
      <c r="H20" s="1"/>
      <c r="I20" s="1"/>
      <c r="J20" s="1"/>
    </row>
    <row r="21" ht="28" customHeight="1" spans="1:10">
      <c r="A21" s="1" t="s">
        <v>27</v>
      </c>
      <c r="B21" s="1"/>
      <c r="C21" s="1"/>
      <c r="D21" s="1"/>
      <c r="E21" s="1"/>
      <c r="F21" s="1"/>
      <c r="G21" s="1"/>
      <c r="H21" s="1"/>
      <c r="I21" s="1"/>
      <c r="J21" s="1"/>
    </row>
  </sheetData>
  <conditionalFormatting sqref="J7:J8">
    <cfRule type="cellIs" dxfId="0" priority="1" operator="notEqual">
      <formula>0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showGridLines="0" tabSelected="1" workbookViewId="0">
      <pane xSplit="4" ySplit="6" topLeftCell="E7" activePane="bottomRight" state="frozen"/>
      <selection/>
      <selection pane="topRight"/>
      <selection pane="bottomLeft"/>
      <selection pane="bottomRight" activeCell="F34" sqref="F34"/>
    </sheetView>
  </sheetViews>
  <sheetFormatPr defaultColWidth="9" defaultRowHeight="16.8"/>
  <cols>
    <col min="1" max="1" width="10" customWidth="1"/>
    <col min="2" max="2" width="8" customWidth="1"/>
    <col min="3" max="3" width="9" customWidth="1"/>
    <col min="4" max="4" width="12" customWidth="1"/>
    <col min="5" max="5" width="21" customWidth="1"/>
    <col min="6" max="6" width="38" customWidth="1"/>
    <col min="7" max="7" width="11" customWidth="1"/>
    <col min="8" max="8" width="63" customWidth="1"/>
    <col min="9" max="9" width="34" customWidth="1"/>
  </cols>
  <sheetData>
    <row r="1" ht="26" customHeight="1" spans="1:9">
      <c r="A1" s="1"/>
      <c r="B1" s="1"/>
      <c r="C1" s="1"/>
      <c r="D1" s="1"/>
      <c r="E1" s="1"/>
      <c r="F1" s="1"/>
      <c r="G1" s="1"/>
      <c r="H1" s="1"/>
      <c r="I1" s="1"/>
    </row>
    <row r="2" ht="26" customHeight="1" spans="1:9">
      <c r="A2" s="2" t="s">
        <v>28</v>
      </c>
      <c r="B2" s="1"/>
      <c r="C2" s="1"/>
      <c r="D2" s="1"/>
      <c r="E2" s="1"/>
      <c r="F2" s="1"/>
      <c r="G2" s="1"/>
      <c r="H2" s="1"/>
      <c r="I2" s="1"/>
    </row>
    <row r="3" ht="26" customHeight="1" spans="1:9">
      <c r="A3" s="3"/>
      <c r="B3" s="3"/>
      <c r="C3" s="3"/>
      <c r="D3" s="3"/>
      <c r="E3" s="3"/>
      <c r="F3" s="3"/>
      <c r="G3" s="3"/>
      <c r="H3" s="3"/>
      <c r="I3" s="3"/>
    </row>
    <row r="4" ht="26" customHeight="1" spans="1:9">
      <c r="A4" s="4" t="s">
        <v>29</v>
      </c>
      <c r="B4" s="1"/>
      <c r="C4" s="1"/>
      <c r="D4" s="1"/>
      <c r="E4" s="1"/>
      <c r="F4" s="1"/>
      <c r="G4" s="1"/>
      <c r="H4" s="1"/>
      <c r="I4" s="1"/>
    </row>
    <row r="5" ht="26" customHeight="1" spans="1:9">
      <c r="A5" s="1"/>
      <c r="B5" s="1"/>
      <c r="C5" s="1"/>
      <c r="D5" s="1"/>
      <c r="E5" s="1"/>
      <c r="F5" s="1"/>
      <c r="G5" s="1"/>
      <c r="H5" s="1"/>
      <c r="I5" s="1"/>
    </row>
    <row r="6" ht="31" customHeight="1" spans="1:9">
      <c r="A6" s="5" t="s">
        <v>30</v>
      </c>
      <c r="B6" s="6" t="s">
        <v>31</v>
      </c>
      <c r="C6" s="6" t="s">
        <v>2</v>
      </c>
      <c r="D6" s="6" t="s">
        <v>3</v>
      </c>
      <c r="E6" s="6" t="s">
        <v>32</v>
      </c>
      <c r="F6" s="6" t="s">
        <v>33</v>
      </c>
      <c r="G6" s="6" t="s">
        <v>34</v>
      </c>
      <c r="H6" s="6" t="s">
        <v>35</v>
      </c>
      <c r="I6" s="7" t="s">
        <v>36</v>
      </c>
    </row>
    <row r="7" ht="48" customHeight="1" spans="1:9">
      <c r="A7" s="8" t="s">
        <v>37</v>
      </c>
      <c r="B7" s="9">
        <v>1</v>
      </c>
      <c r="C7" s="10" t="s">
        <v>12</v>
      </c>
      <c r="D7" s="10" t="s">
        <v>13</v>
      </c>
      <c r="E7" s="8" t="s">
        <v>38</v>
      </c>
      <c r="F7" s="8" t="s">
        <v>39</v>
      </c>
      <c r="G7" s="11">
        <v>2</v>
      </c>
      <c r="H7" s="8" t="s">
        <v>40</v>
      </c>
      <c r="I7" s="8" t="s">
        <v>41</v>
      </c>
    </row>
    <row r="8" ht="48" customHeight="1" spans="1:9">
      <c r="A8" s="12" t="s">
        <v>42</v>
      </c>
      <c r="B8" s="13">
        <v>1</v>
      </c>
      <c r="C8" s="14" t="s">
        <v>12</v>
      </c>
      <c r="D8" s="14" t="s">
        <v>13</v>
      </c>
      <c r="E8" s="12" t="s">
        <v>38</v>
      </c>
      <c r="F8" s="12" t="s">
        <v>43</v>
      </c>
      <c r="G8" s="15">
        <v>2</v>
      </c>
      <c r="H8" s="12" t="s">
        <v>44</v>
      </c>
      <c r="I8" s="12" t="s">
        <v>45</v>
      </c>
    </row>
    <row r="9" ht="48" customHeight="1" spans="1:9">
      <c r="A9" s="12" t="s">
        <v>46</v>
      </c>
      <c r="B9" s="13">
        <v>1</v>
      </c>
      <c r="C9" s="14" t="s">
        <v>12</v>
      </c>
      <c r="D9" s="14" t="s">
        <v>13</v>
      </c>
      <c r="E9" s="12" t="s">
        <v>47</v>
      </c>
      <c r="F9" s="12" t="s">
        <v>48</v>
      </c>
      <c r="G9" s="15">
        <v>2</v>
      </c>
      <c r="H9" s="12" t="s">
        <v>49</v>
      </c>
      <c r="I9" s="12" t="s">
        <v>50</v>
      </c>
    </row>
    <row r="10" ht="48" customHeight="1" spans="1:9">
      <c r="A10" s="12" t="s">
        <v>51</v>
      </c>
      <c r="B10" s="13">
        <v>1</v>
      </c>
      <c r="C10" s="14" t="s">
        <v>12</v>
      </c>
      <c r="D10" s="14" t="s">
        <v>13</v>
      </c>
      <c r="E10" s="12" t="s">
        <v>52</v>
      </c>
      <c r="F10" s="12" t="s">
        <v>53</v>
      </c>
      <c r="G10" s="15">
        <v>3</v>
      </c>
      <c r="H10" s="12" t="s">
        <v>54</v>
      </c>
      <c r="I10" s="12" t="s">
        <v>55</v>
      </c>
    </row>
    <row r="11" ht="48" customHeight="1" spans="1:9">
      <c r="A11" s="16" t="s">
        <v>56</v>
      </c>
      <c r="B11" s="17">
        <v>2</v>
      </c>
      <c r="C11" s="18" t="s">
        <v>12</v>
      </c>
      <c r="D11" s="18" t="s">
        <v>13</v>
      </c>
      <c r="E11" s="16" t="s">
        <v>57</v>
      </c>
      <c r="F11" s="16" t="s">
        <v>58</v>
      </c>
      <c r="G11" s="19">
        <v>2</v>
      </c>
      <c r="H11" s="16" t="s">
        <v>59</v>
      </c>
      <c r="I11" s="16" t="s">
        <v>60</v>
      </c>
    </row>
    <row r="12" ht="48" customHeight="1" spans="1:9">
      <c r="A12" s="20" t="s">
        <v>61</v>
      </c>
      <c r="B12" s="21">
        <v>2</v>
      </c>
      <c r="C12" s="22" t="s">
        <v>12</v>
      </c>
      <c r="D12" s="22" t="s">
        <v>13</v>
      </c>
      <c r="E12" s="20" t="s">
        <v>57</v>
      </c>
      <c r="F12" s="20" t="s">
        <v>62</v>
      </c>
      <c r="G12" s="23">
        <v>3</v>
      </c>
      <c r="H12" s="20" t="s">
        <v>63</v>
      </c>
      <c r="I12" s="20" t="s">
        <v>64</v>
      </c>
    </row>
    <row r="13" ht="48" customHeight="1" spans="1:9">
      <c r="A13" s="20" t="s">
        <v>65</v>
      </c>
      <c r="B13" s="21">
        <v>2</v>
      </c>
      <c r="C13" s="22" t="s">
        <v>12</v>
      </c>
      <c r="D13" s="22" t="s">
        <v>13</v>
      </c>
      <c r="E13" s="20" t="s">
        <v>66</v>
      </c>
      <c r="F13" s="20" t="s">
        <v>67</v>
      </c>
      <c r="G13" s="23">
        <v>2</v>
      </c>
      <c r="H13" s="20" t="s">
        <v>68</v>
      </c>
      <c r="I13" s="20" t="s">
        <v>69</v>
      </c>
    </row>
    <row r="14" ht="48" customHeight="1" spans="1:9">
      <c r="A14" s="20" t="s">
        <v>70</v>
      </c>
      <c r="B14" s="21">
        <v>2</v>
      </c>
      <c r="C14" s="22" t="s">
        <v>12</v>
      </c>
      <c r="D14" s="22" t="s">
        <v>13</v>
      </c>
      <c r="E14" s="20" t="s">
        <v>66</v>
      </c>
      <c r="F14" s="20" t="s">
        <v>71</v>
      </c>
      <c r="G14" s="23">
        <v>2</v>
      </c>
      <c r="H14" s="20" t="s">
        <v>72</v>
      </c>
      <c r="I14" s="20" t="s">
        <v>73</v>
      </c>
    </row>
    <row r="15" ht="48" customHeight="1" spans="1:9">
      <c r="A15" s="8" t="s">
        <v>74</v>
      </c>
      <c r="B15" s="9">
        <v>3</v>
      </c>
      <c r="C15" s="10" t="s">
        <v>12</v>
      </c>
      <c r="D15" s="10" t="s">
        <v>13</v>
      </c>
      <c r="E15" s="8" t="s">
        <v>66</v>
      </c>
      <c r="F15" s="8" t="s">
        <v>75</v>
      </c>
      <c r="G15" s="11">
        <v>2</v>
      </c>
      <c r="H15" s="8" t="s">
        <v>76</v>
      </c>
      <c r="I15" s="8" t="s">
        <v>77</v>
      </c>
    </row>
    <row r="16" ht="48" customHeight="1" spans="1:9">
      <c r="A16" s="12" t="s">
        <v>78</v>
      </c>
      <c r="B16" s="13">
        <v>3</v>
      </c>
      <c r="C16" s="14" t="s">
        <v>12</v>
      </c>
      <c r="D16" s="14" t="s">
        <v>13</v>
      </c>
      <c r="E16" s="12" t="s">
        <v>66</v>
      </c>
      <c r="F16" s="12" t="s">
        <v>79</v>
      </c>
      <c r="G16" s="15">
        <v>2</v>
      </c>
      <c r="H16" s="12" t="s">
        <v>80</v>
      </c>
      <c r="I16" s="12" t="s">
        <v>81</v>
      </c>
    </row>
    <row r="17" ht="48" customHeight="1" spans="1:9">
      <c r="A17" s="12" t="s">
        <v>82</v>
      </c>
      <c r="B17" s="13">
        <v>3</v>
      </c>
      <c r="C17" s="14" t="s">
        <v>12</v>
      </c>
      <c r="D17" s="14" t="s">
        <v>13</v>
      </c>
      <c r="E17" s="12" t="s">
        <v>66</v>
      </c>
      <c r="F17" s="12" t="s">
        <v>83</v>
      </c>
      <c r="G17" s="15">
        <v>2</v>
      </c>
      <c r="H17" s="12" t="s">
        <v>84</v>
      </c>
      <c r="I17" s="12" t="s">
        <v>85</v>
      </c>
    </row>
    <row r="18" ht="48" customHeight="1" spans="1:9">
      <c r="A18" s="12" t="s">
        <v>86</v>
      </c>
      <c r="B18" s="13">
        <v>3</v>
      </c>
      <c r="C18" s="14" t="s">
        <v>12</v>
      </c>
      <c r="D18" s="14" t="s">
        <v>13</v>
      </c>
      <c r="E18" s="12" t="s">
        <v>87</v>
      </c>
      <c r="F18" s="12" t="s">
        <v>88</v>
      </c>
      <c r="G18" s="15">
        <v>3</v>
      </c>
      <c r="H18" s="12" t="s">
        <v>89</v>
      </c>
      <c r="I18" s="12" t="s">
        <v>90</v>
      </c>
    </row>
    <row r="19" ht="48" customHeight="1" spans="1:9">
      <c r="A19" s="8" t="s">
        <v>91</v>
      </c>
      <c r="B19" s="9">
        <v>1</v>
      </c>
      <c r="C19" s="10" t="s">
        <v>14</v>
      </c>
      <c r="D19" s="24" t="s">
        <v>92</v>
      </c>
      <c r="E19" s="8" t="s">
        <v>38</v>
      </c>
      <c r="F19" s="8" t="s">
        <v>93</v>
      </c>
      <c r="G19" s="11">
        <v>2</v>
      </c>
      <c r="H19" s="8" t="s">
        <v>94</v>
      </c>
      <c r="I19" s="8" t="s">
        <v>95</v>
      </c>
    </row>
    <row r="20" ht="48" customHeight="1" spans="1:9">
      <c r="A20" s="12" t="s">
        <v>96</v>
      </c>
      <c r="B20" s="13">
        <v>1</v>
      </c>
      <c r="C20" s="14" t="s">
        <v>14</v>
      </c>
      <c r="D20" s="24" t="s">
        <v>92</v>
      </c>
      <c r="E20" s="12" t="s">
        <v>38</v>
      </c>
      <c r="F20" s="12" t="s">
        <v>97</v>
      </c>
      <c r="G20" s="15">
        <v>2</v>
      </c>
      <c r="H20" s="12" t="s">
        <v>98</v>
      </c>
      <c r="I20" s="12" t="s">
        <v>99</v>
      </c>
    </row>
    <row r="21" ht="48" customHeight="1" spans="1:9">
      <c r="A21" s="12" t="s">
        <v>100</v>
      </c>
      <c r="B21" s="13">
        <v>1</v>
      </c>
      <c r="C21" s="14" t="s">
        <v>14</v>
      </c>
      <c r="D21" s="24" t="s">
        <v>92</v>
      </c>
      <c r="E21" s="12" t="s">
        <v>47</v>
      </c>
      <c r="F21" s="12" t="s">
        <v>101</v>
      </c>
      <c r="G21" s="15">
        <v>2</v>
      </c>
      <c r="H21" s="12" t="s">
        <v>102</v>
      </c>
      <c r="I21" s="12" t="s">
        <v>103</v>
      </c>
    </row>
    <row r="22" ht="48" customHeight="1" spans="1:9">
      <c r="A22" s="12" t="s">
        <v>104</v>
      </c>
      <c r="B22" s="13">
        <v>1</v>
      </c>
      <c r="C22" s="14" t="s">
        <v>14</v>
      </c>
      <c r="D22" s="24" t="s">
        <v>92</v>
      </c>
      <c r="E22" s="12" t="s">
        <v>57</v>
      </c>
      <c r="F22" s="12" t="s">
        <v>105</v>
      </c>
      <c r="G22" s="15">
        <v>3</v>
      </c>
      <c r="H22" s="12" t="s">
        <v>106</v>
      </c>
      <c r="I22" s="12" t="s">
        <v>107</v>
      </c>
    </row>
    <row r="23" ht="48" customHeight="1" spans="1:9">
      <c r="A23" s="16" t="s">
        <v>108</v>
      </c>
      <c r="B23" s="17">
        <v>2</v>
      </c>
      <c r="C23" s="18" t="s">
        <v>14</v>
      </c>
      <c r="D23" s="24" t="s">
        <v>92</v>
      </c>
      <c r="E23" s="16" t="s">
        <v>57</v>
      </c>
      <c r="F23" s="16" t="s">
        <v>109</v>
      </c>
      <c r="G23" s="19">
        <v>2</v>
      </c>
      <c r="H23" s="16" t="s">
        <v>110</v>
      </c>
      <c r="I23" s="16" t="s">
        <v>111</v>
      </c>
    </row>
    <row r="24" ht="48" customHeight="1" spans="1:9">
      <c r="A24" s="20" t="s">
        <v>112</v>
      </c>
      <c r="B24" s="21">
        <v>2</v>
      </c>
      <c r="C24" s="22" t="s">
        <v>14</v>
      </c>
      <c r="D24" s="24" t="s">
        <v>92</v>
      </c>
      <c r="E24" s="20" t="s">
        <v>66</v>
      </c>
      <c r="F24" s="20" t="s">
        <v>113</v>
      </c>
      <c r="G24" s="23">
        <v>2</v>
      </c>
      <c r="H24" s="20" t="s">
        <v>114</v>
      </c>
      <c r="I24" s="20" t="s">
        <v>115</v>
      </c>
    </row>
    <row r="25" ht="48" customHeight="1" spans="1:9">
      <c r="A25" s="20" t="s">
        <v>116</v>
      </c>
      <c r="B25" s="21">
        <v>2</v>
      </c>
      <c r="C25" s="22" t="s">
        <v>14</v>
      </c>
      <c r="D25" s="24" t="s">
        <v>92</v>
      </c>
      <c r="E25" s="20" t="s">
        <v>66</v>
      </c>
      <c r="F25" s="20" t="s">
        <v>117</v>
      </c>
      <c r="G25" s="23">
        <v>2</v>
      </c>
      <c r="H25" s="20" t="s">
        <v>118</v>
      </c>
      <c r="I25" s="20" t="s">
        <v>119</v>
      </c>
    </row>
    <row r="26" ht="48" customHeight="1" spans="1:9">
      <c r="A26" s="20" t="s">
        <v>120</v>
      </c>
      <c r="B26" s="21">
        <v>2</v>
      </c>
      <c r="C26" s="22" t="s">
        <v>14</v>
      </c>
      <c r="D26" s="24" t="s">
        <v>92</v>
      </c>
      <c r="E26" s="20" t="s">
        <v>66</v>
      </c>
      <c r="F26" s="20" t="s">
        <v>121</v>
      </c>
      <c r="G26" s="23">
        <v>3</v>
      </c>
      <c r="H26" s="20" t="s">
        <v>122</v>
      </c>
      <c r="I26" s="20" t="s">
        <v>123</v>
      </c>
    </row>
    <row r="27" ht="48" customHeight="1" spans="1:9">
      <c r="A27" s="8" t="s">
        <v>124</v>
      </c>
      <c r="B27" s="9">
        <v>3</v>
      </c>
      <c r="C27" s="10" t="s">
        <v>14</v>
      </c>
      <c r="D27" s="24" t="s">
        <v>92</v>
      </c>
      <c r="E27" s="8" t="s">
        <v>66</v>
      </c>
      <c r="F27" s="8" t="s">
        <v>125</v>
      </c>
      <c r="G27" s="11">
        <v>2</v>
      </c>
      <c r="H27" s="8" t="s">
        <v>126</v>
      </c>
      <c r="I27" s="8" t="s">
        <v>127</v>
      </c>
    </row>
    <row r="28" ht="48" customHeight="1" spans="1:9">
      <c r="A28" s="12" t="s">
        <v>128</v>
      </c>
      <c r="B28" s="13">
        <v>3</v>
      </c>
      <c r="C28" s="14" t="s">
        <v>14</v>
      </c>
      <c r="D28" s="24" t="s">
        <v>92</v>
      </c>
      <c r="E28" s="12" t="s">
        <v>66</v>
      </c>
      <c r="F28" s="12" t="s">
        <v>129</v>
      </c>
      <c r="G28" s="15">
        <v>3</v>
      </c>
      <c r="H28" s="12" t="s">
        <v>130</v>
      </c>
      <c r="I28" s="12" t="s">
        <v>131</v>
      </c>
    </row>
    <row r="29" ht="48" customHeight="1" spans="1:9">
      <c r="A29" s="12" t="s">
        <v>132</v>
      </c>
      <c r="B29" s="13">
        <v>3</v>
      </c>
      <c r="C29" s="14" t="s">
        <v>14</v>
      </c>
      <c r="D29" s="24" t="s">
        <v>92</v>
      </c>
      <c r="E29" s="12" t="s">
        <v>133</v>
      </c>
      <c r="F29" s="12" t="s">
        <v>134</v>
      </c>
      <c r="G29" s="15">
        <v>2</v>
      </c>
      <c r="H29" s="12" t="s">
        <v>135</v>
      </c>
      <c r="I29" s="12" t="s">
        <v>136</v>
      </c>
    </row>
    <row r="30" ht="48" customHeight="1" spans="1:9">
      <c r="A30" s="12" t="s">
        <v>137</v>
      </c>
      <c r="B30" s="13">
        <v>3</v>
      </c>
      <c r="C30" s="14" t="s">
        <v>14</v>
      </c>
      <c r="D30" s="24" t="s">
        <v>92</v>
      </c>
      <c r="E30" s="12" t="s">
        <v>138</v>
      </c>
      <c r="F30" s="12" t="s">
        <v>139</v>
      </c>
      <c r="G30" s="15">
        <v>2</v>
      </c>
      <c r="H30" s="12" t="s">
        <v>140</v>
      </c>
      <c r="I30" s="12" t="s">
        <v>141</v>
      </c>
    </row>
    <row r="31" ht="26" customHeight="1" spans="1:9">
      <c r="A31" s="1"/>
      <c r="B31" s="1"/>
      <c r="C31" s="1"/>
      <c r="D31" s="1"/>
      <c r="E31" s="1"/>
      <c r="F31" s="1"/>
      <c r="G31" s="1"/>
      <c r="H31" s="1"/>
      <c r="I31" s="1"/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排期汇总</vt:lpstr>
      <vt:lpstr>任务明细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郭_少</cp:lastModifiedBy>
  <dcterms:created xsi:type="dcterms:W3CDTF">2026-10-20T16:07:33Z</dcterms:created>
  <dcterms:modified xsi:type="dcterms:W3CDTF">2026-10-20T16:10:07Z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7C052CB9737209455821D76A212CC3AB_42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