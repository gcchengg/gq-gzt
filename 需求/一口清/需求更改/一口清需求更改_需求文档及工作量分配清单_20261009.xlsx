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需求文档" sheetId="1" r:id="rId1"/>
    <sheet name="工作量分配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<sst xmlns="http://schemas.openxmlformats.org/spreadsheetml/2006/main" count="138" uniqueCount="108">
  <si>
    <t>一口清需求更改</t>
  </si>
  <si>
    <t>整理日期</t>
  </si>
  <si>
    <t>2026-10-09T00:00:00.000Z</t>
  </si>
  <si>
    <t>来源：用户提供的7项需求</t>
  </si>
  <si>
    <t>文档性质：需求整理稿；待确认规则尚未定稿。</t>
  </si>
  <si>
    <t>需求编号</t>
  </si>
  <si>
    <t>模块／适用模式</t>
  </si>
  <si>
    <t>需求名称</t>
  </si>
  <si>
    <t>原始需求</t>
  </si>
  <si>
    <t>整理后的修改内容</t>
  </si>
  <si>
    <t>验收标准</t>
  </si>
  <si>
    <t>待确认事项</t>
  </si>
  <si>
    <t>REQ-01</t>
  </si>
  <si>
    <t>管理者模式</t>
  </si>
  <si>
    <t>精简版／详细版按钮切换</t>
  </si>
  <si>
    <t>【管理者模式】，用【精简版】和【详细版】，用两个点击按钮来区分。</t>
  </si>
  <si>
    <t>提供“精简版”“详细版”两个独立按钮；点击后切换对应展示模式，并明确当前选中状态。</t>
  </si>
  <si>
    <t>两个按钮均可点击；模式与选中状态一致；切换后展示对应内容。</t>
  </si>
  <si>
    <t>初次进入默认模式；切换选择是否跨页面／刷新保留。</t>
  </si>
  <si>
    <t>REQ-02</t>
  </si>
  <si>
    <t>精简版</t>
  </si>
  <si>
    <t>主标题连续编号及配置入口移除</t>
  </si>
  <si>
    <t>【精简版】主标题默认没有五的话，六就得是五；取消看板内容项配置按钮。</t>
  </si>
  <si>
    <t>精简版按实际展示的主标题连续编号；原第五项不展示时，原第六项显示为第五项，后续编号顺延；精简版隐藏看板内容项配置按钮。</t>
  </si>
  <si>
    <t>缺少原第五项时编号连续且原第六项显示“五”；精简版不出现配置按钮；详细版保持现有编号及配置入口逻辑。</t>
  </si>
  <si>
    <t>需确认所有主标题是否按实际可见项统一重新编号。</t>
  </si>
  <si>
    <t>REQ-03</t>
  </si>
  <si>
    <t>财务分析</t>
  </si>
  <si>
    <t>移除归母所有者权益两列</t>
  </si>
  <si>
    <t>财务分析中，删除表格中的归母所有者权益的两列。</t>
  </si>
  <si>
    <t>移除财务分析表格中归属于母公司所有者权益对应的两列，并同步调整表头与列对齐。</t>
  </si>
  <si>
    <t>指定两列不再展示；表头、数据列及合计行对应正确；其他财务指标展示正常。</t>
  </si>
  <si>
    <t>两列的准确列名／字段；是否同时影响导出及其他模式。</t>
  </si>
  <si>
    <t>REQ-04</t>
  </si>
  <si>
    <t>修正归母净利润同比增长</t>
  </si>
  <si>
    <t>归母净利润的同比增长计算问题。</t>
  </si>
  <si>
    <t>排查归母净利润同比计算的数据来源、期间匹配、单位及公式；依据确认后的业务口径修正计算与展示。</t>
  </si>
  <si>
    <t>按确认口径核对普通正值、上年同期为负、零基数及缺失数据；结果与确认样例一致，无无效数值或重复百分比换算。</t>
  </si>
  <si>
    <t>错误样例及预期结果；累计／单期口径；负数、零基数、缺失值及小数精度规则；计算归属前端或后端。</t>
  </si>
  <si>
    <t>REQ-05</t>
  </si>
  <si>
    <t>产业协同与管理策略</t>
  </si>
  <si>
    <t>初始化数据</t>
  </si>
  <si>
    <t>产业协同与管理策略初始化数据。</t>
  </si>
  <si>
    <t>依据确认的数据来源，在页面首次加载或符合初始化条件时填充产业协同与管理策略内容；已保存数据的处理规则需确认。</t>
  </si>
  <si>
    <t>首次进入可展示确认的初始化数据；保存、再次进入结果一致；已有数据按确认规则处理，避免非预期覆盖。</t>
  </si>
  <si>
    <t>初始内容、数据来源及字段映射；触发条件；覆盖／补全规则；历史数据是否补齐。</t>
  </si>
  <si>
    <t>REQ-06</t>
  </si>
  <si>
    <t>顶部四字段布局调整</t>
  </si>
  <si>
    <t>精简版模式下的顶端4个字段的布局修改。</t>
  </si>
  <si>
    <t>调整精简版顶部四个字段的排列、宽度、间距与对齐；字段值及业务含义保持现有逻辑。</t>
  </si>
  <si>
    <t>四个字段按确认布局展示；常用屏幕宽度下无重叠、截断或异常换行；详细版布局保持现有逻辑。</t>
  </si>
  <si>
    <t>四个字段名称、排列顺序、目标布局图及适配宽度。</t>
  </si>
  <si>
    <t>REQ-07</t>
  </si>
  <si>
    <t>一口清／勋章管家</t>
  </si>
  <si>
    <t>修复持续加载</t>
  </si>
  <si>
    <t>一口清界面点击勋章管家时，持续加载的问题。</t>
  </si>
  <si>
    <t>排查点击入口后的请求、跳转及加载状态；在成功、失败与超时路径正确结束加载，异常时展示可理解的提示及重试方式。</t>
  </si>
  <si>
    <t>点击后可正常进入／展示勋章管家；请求成功、失败及超时后加载均可结束；连续点击与返回后再次进入无持续加载。</t>
  </si>
  <si>
    <t>复现账号／操作步骤；接口及日志；合理超时阈值；勋章管家入口形式及权限规则。</t>
  </si>
  <si>
    <t>一口清工作量分配清单</t>
  </si>
  <si>
    <t>人员沿用既有分配；工时为本次需求初步估算，待规则及排查结果确认后调整。</t>
  </si>
  <si>
    <t>前端负责人</t>
  </si>
  <si>
    <t>前端工时（小时）</t>
  </si>
  <si>
    <t>前端工作内容</t>
  </si>
  <si>
    <t>后端负责人</t>
  </si>
  <si>
    <t>后端工时（小时）</t>
  </si>
  <si>
    <t>后端工作内容</t>
  </si>
  <si>
    <t>合计（人时）</t>
  </si>
  <si>
    <t>估算依据／状态</t>
  </si>
  <si>
    <t>郭春成</t>
  </si>
  <si>
    <t>实现两个模式按钮、选中状态及展示切换。</t>
  </si>
  <si>
    <t>暂不安排后端开发；若需服务端保存模式偏好，另行估算。</t>
  </si>
  <si>
    <t>待开发；模式保存规则待确认</t>
  </si>
  <si>
    <t>处理精简版可见主标题连续编号；隐藏配置按钮；验证详细版。</t>
  </si>
  <si>
    <t>当前按前端展示调整估算。</t>
  </si>
  <si>
    <t>待开发；编号范围待确认</t>
  </si>
  <si>
    <t>删除指定两列，校验表头、数据与合计行对齐。</t>
  </si>
  <si>
    <t>当前仅调整展示；若导出由后端生成且需同步，另行估算。</t>
  </si>
  <si>
    <t>待开发；字段及导出范围待确认</t>
  </si>
  <si>
    <t>协查同比显示、期间与单位；配合修正展示并核对样例。</t>
  </si>
  <si>
    <t>崔洋</t>
  </si>
  <si>
    <t>排查数据来源与计算口径；按确认规则修正涉及的后端计算并联调。</t>
  </si>
  <si>
    <t>待排查；按前后端共同处理估算</t>
  </si>
  <si>
    <t>接入初始化数据、处理展示与回填，验证保存后再进入。</t>
  </si>
  <si>
    <t>梳理初始化来源与字段；实现确认后的初始化／补齐规则并联调。</t>
  </si>
  <si>
    <t>待开发；初始内容及历史数据范围待确认</t>
  </si>
  <si>
    <t>调整顶部四字段布局及适配；核对精简版与详细版展示。</t>
  </si>
  <si>
    <t>当前按纯布局调整估算。</t>
  </si>
  <si>
    <t>待开发；布局方案待确认</t>
  </si>
  <si>
    <t>复现加载问题，检查请求与跳转；修正加载收尾及异常提示。</t>
  </si>
  <si>
    <t>协查接口响应、异常及超时路径；修复涉及的服务端问题并联调。</t>
  </si>
  <si>
    <t>待排查；后端工时为排查及修复预估</t>
  </si>
  <si>
    <t>合计</t>
  </si>
  <si>
    <t>角色汇总</t>
  </si>
  <si>
    <t>负责人</t>
  </si>
  <si>
    <t>预计工时（小时）</t>
  </si>
  <si>
    <t>工作量性质</t>
  </si>
  <si>
    <t>说明</t>
  </si>
  <si>
    <t>前端</t>
  </si>
  <si>
    <t>初步估算</t>
  </si>
  <si>
    <t>包含本角色开发、自测与联调。</t>
  </si>
  <si>
    <t>后端</t>
  </si>
  <si>
    <t>0小时表示当前范围暂不安排后端工作。</t>
  </si>
  <si>
    <t>—</t>
  </si>
  <si>
    <t>人时</t>
  </si>
  <si>
    <t>总人时不代表日历工期。</t>
  </si>
  <si>
    <t>分配说明</t>
  </si>
  <si>
    <t>待确认事项见“需求文档”工作表；本清单为计划分配，不代表已完成或实际耗时。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</si>
</sst>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sz val="11"/>
      <color rgb="FF253545"/>
      <name val="Arial"/>
      <charset val="134"/>
    </font>
    <font>
      <b/>
      <sz val="16"/>
      <color rgb="FF16374F"/>
      <name val="Arial"/>
      <charset val="134"/>
    </font>
    <font>
      <b/>
      <sz val="11"/>
      <color rgb="FFFFFFFF"/>
      <name val="Arial"/>
      <charset val="134"/>
    </font>
    <font>
      <sz val="11"/>
      <color rgb="FF1C61A5"/>
      <name val="Arial"/>
      <charset val="134"/>
    </font>
    <font>
      <sz val="11"/>
      <color rgb="FF253545"/>
      <name val="宋体-简"/>
      <charset val="134"/>
    </font>
    <font>
      <b/>
      <sz val="11"/>
      <color rgb="FF25354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4445C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E0EAF0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/>
    </xf>
    <xf numFmtId="176" fontId="1" fillId="0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vertical="top" wrapText="1"/>
    </xf>
    <xf numFmtId="1" fontId="4" fillId="3" borderId="0" xfId="49" applyNumberFormat="1" applyFont="1" applyFill="1" applyBorder="1" applyAlignment="1">
      <alignment horizontal="right" vertical="top" wrapText="1"/>
    </xf>
    <xf numFmtId="1" fontId="1" fillId="3" borderId="0" xfId="49" applyNumberFormat="1" applyFont="1" applyFill="1" applyBorder="1" applyAlignment="1">
      <alignment horizontal="right" vertical="top" wrapText="1"/>
    </xf>
    <xf numFmtId="1" fontId="4" fillId="0" borderId="0" xfId="49" applyNumberFormat="1" applyFont="1" applyFill="1" applyBorder="1" applyAlignment="1">
      <alignment horizontal="right" vertical="top" wrapText="1"/>
    </xf>
    <xf numFmtId="1" fontId="1" fillId="0" borderId="0" xfId="49" applyNumberFormat="1" applyFont="1" applyFill="1" applyBorder="1" applyAlignment="1">
      <alignment horizontal="right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6" fillId="4" borderId="0" xfId="49" applyNumberFormat="1" applyFont="1" applyFill="1" applyBorder="1" applyAlignment="1">
      <alignment vertical="top" wrapText="1"/>
    </xf>
    <xf numFmtId="1" fontId="6" fillId="4" borderId="0" xfId="49" applyNumberFormat="1" applyFont="1" applyFill="1" applyBorder="1" applyAlignment="1">
      <alignment horizontal="right" vertical="top" wrapText="1"/>
    </xf>
    <xf numFmtId="1" fontId="1" fillId="0" borderId="0" xfId="49" applyNumberFormat="1" applyFont="1" applyFill="1" applyBorder="1" applyAlignment="1">
      <alignment vertical="top" wrapText="1"/>
    </xf>
    <xf numFmtId="0" fontId="1" fillId="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45C"/>
  </sheetPr>
  <dimension ref="A1:G12"/>
  <sheetViews>
    <sheetView showGridLines="0" tabSelected="1" workbookViewId="0">
      <pane xSplit="3" ySplit="5" topLeftCell="D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13" customWidth="1"/>
    <col min="2" max="2" width="21" customWidth="1"/>
    <col min="3" max="3" width="27" customWidth="1"/>
    <col min="4" max="4" width="45" customWidth="1"/>
    <col min="5" max="5" width="54" customWidth="1"/>
    <col min="6" max="6" width="52" customWidth="1"/>
    <col min="7" max="7" width="46" customWidth="1"/>
  </cols>
  <sheetData>
    <row r="1" ht="25" customHeight="1" spans="1:7">
      <c r="A1" s="1"/>
      <c r="B1" s="1"/>
      <c r="C1" s="1"/>
      <c r="D1" s="1"/>
      <c r="E1" s="1"/>
      <c r="F1" s="1"/>
      <c r="G1" s="1"/>
    </row>
    <row r="2" ht="32" customHeight="1" spans="1:7">
      <c r="A2" s="2" t="s">
        <v>0</v>
      </c>
      <c r="B2" s="1"/>
      <c r="C2" s="1"/>
      <c r="D2" s="1"/>
      <c r="E2" s="1"/>
      <c r="F2" s="1"/>
      <c r="G2" s="1"/>
    </row>
    <row r="3" ht="25" customHeight="1" spans="1:7">
      <c r="A3" s="1" t="s">
        <v>1</v>
      </c>
      <c r="B3" s="3" t="s">
        <v>2</v>
      </c>
      <c r="C3" s="1"/>
      <c r="D3" s="1" t="s">
        <v>3</v>
      </c>
      <c r="E3" s="1" t="s">
        <v>4</v>
      </c>
      <c r="F3" s="1"/>
      <c r="G3" s="1"/>
    </row>
    <row r="4" ht="25" customHeight="1" spans="1:7">
      <c r="A4" s="1"/>
      <c r="B4" s="1"/>
      <c r="C4" s="1"/>
      <c r="D4" s="1"/>
      <c r="E4" s="1"/>
      <c r="F4" s="1"/>
      <c r="G4" s="1"/>
    </row>
    <row r="5" ht="32" customHeight="1" spans="1:7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 ht="72" customHeight="1" spans="1:7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14" t="s">
        <v>18</v>
      </c>
    </row>
    <row r="7" ht="72" customHeight="1" spans="1:7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4" t="s">
        <v>25</v>
      </c>
    </row>
    <row r="8" ht="72" customHeight="1" spans="1:7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14" t="s">
        <v>32</v>
      </c>
    </row>
    <row r="9" ht="72" customHeight="1" spans="1:7">
      <c r="A9" s="1" t="s">
        <v>33</v>
      </c>
      <c r="B9" s="1" t="s">
        <v>27</v>
      </c>
      <c r="C9" s="1" t="s">
        <v>34</v>
      </c>
      <c r="D9" s="1" t="s">
        <v>35</v>
      </c>
      <c r="E9" s="1" t="s">
        <v>36</v>
      </c>
      <c r="F9" s="1" t="s">
        <v>37</v>
      </c>
      <c r="G9" s="14" t="s">
        <v>38</v>
      </c>
    </row>
    <row r="10" ht="72" customHeight="1" spans="1:7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14" t="s">
        <v>45</v>
      </c>
    </row>
    <row r="11" ht="72" customHeight="1" spans="1:7">
      <c r="A11" s="1" t="s">
        <v>46</v>
      </c>
      <c r="B11" s="1" t="s">
        <v>20</v>
      </c>
      <c r="C11" s="1" t="s">
        <v>47</v>
      </c>
      <c r="D11" s="1" t="s">
        <v>48</v>
      </c>
      <c r="E11" s="1" t="s">
        <v>49</v>
      </c>
      <c r="F11" s="1" t="s">
        <v>50</v>
      </c>
      <c r="G11" s="14" t="s">
        <v>51</v>
      </c>
    </row>
    <row r="12" ht="72" customHeight="1" spans="1:7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14" t="s">
        <v>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45C"/>
  </sheetPr>
  <dimension ref="A1:J22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6.8"/>
  <cols>
    <col min="1" max="1" width="13" customWidth="1"/>
    <col min="2" max="2" width="27" customWidth="1"/>
    <col min="3" max="3" width="16" customWidth="1"/>
    <col min="4" max="4" width="17" customWidth="1"/>
    <col min="5" max="5" width="45" customWidth="1"/>
    <col min="6" max="6" width="16" customWidth="1"/>
    <col min="7" max="7" width="17" customWidth="1"/>
    <col min="8" max="8" width="45" customWidth="1"/>
    <col min="9" max="9" width="15" customWidth="1"/>
    <col min="10" max="10" width="28" customWidth="1"/>
  </cols>
  <sheetData>
    <row r="1" ht="25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>
      <c r="A2" s="2" t="s">
        <v>59</v>
      </c>
      <c r="B2" s="1"/>
      <c r="C2" s="1"/>
      <c r="D2" s="1"/>
      <c r="E2" s="1"/>
      <c r="F2" s="1"/>
      <c r="G2" s="1"/>
      <c r="H2" s="1"/>
      <c r="I2" s="1"/>
      <c r="J2" s="1"/>
    </row>
    <row r="3" ht="46" customHeight="1" spans="1:10">
      <c r="A3" s="1" t="s">
        <v>1</v>
      </c>
      <c r="B3" s="3" t="s">
        <v>2</v>
      </c>
      <c r="C3" s="1"/>
      <c r="D3" s="1"/>
      <c r="E3" s="1" t="s">
        <v>60</v>
      </c>
      <c r="F3" s="1"/>
      <c r="G3" s="1"/>
      <c r="H3" s="1"/>
      <c r="I3" s="1"/>
      <c r="J3" s="1"/>
    </row>
    <row r="4" ht="25" customHeight="1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ht="44" customHeight="1" spans="1:10">
      <c r="A5" s="4" t="s">
        <v>5</v>
      </c>
      <c r="B5" s="4" t="s">
        <v>7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68</v>
      </c>
    </row>
    <row r="6" ht="64" customHeight="1" spans="1:10">
      <c r="A6" s="5" t="s">
        <v>12</v>
      </c>
      <c r="B6" s="5" t="s">
        <v>14</v>
      </c>
      <c r="C6" s="5" t="s">
        <v>69</v>
      </c>
      <c r="D6" s="6">
        <v>2</v>
      </c>
      <c r="E6" s="5" t="s">
        <v>70</v>
      </c>
      <c r="F6" s="5"/>
      <c r="G6" s="6">
        <v>0</v>
      </c>
      <c r="H6" s="5" t="s">
        <v>71</v>
      </c>
      <c r="I6" s="7">
        <f t="shared" ref="I6:I12" si="0">SUM(D6,G6)</f>
        <v>2</v>
      </c>
      <c r="J6" s="5" t="s">
        <v>72</v>
      </c>
    </row>
    <row r="7" ht="64" customHeight="1" spans="1:10">
      <c r="A7" s="1" t="s">
        <v>19</v>
      </c>
      <c r="B7" s="1" t="s">
        <v>21</v>
      </c>
      <c r="C7" s="1" t="s">
        <v>69</v>
      </c>
      <c r="D7" s="8">
        <v>1</v>
      </c>
      <c r="E7" s="1" t="s">
        <v>73</v>
      </c>
      <c r="F7" s="1"/>
      <c r="G7" s="8">
        <v>0</v>
      </c>
      <c r="H7" s="1" t="s">
        <v>74</v>
      </c>
      <c r="I7" s="9">
        <f t="shared" si="0"/>
        <v>1</v>
      </c>
      <c r="J7" s="1" t="s">
        <v>75</v>
      </c>
    </row>
    <row r="8" ht="64" customHeight="1" spans="1:10">
      <c r="A8" s="5" t="s">
        <v>26</v>
      </c>
      <c r="B8" s="5" t="s">
        <v>28</v>
      </c>
      <c r="C8" s="5" t="s">
        <v>69</v>
      </c>
      <c r="D8" s="6">
        <v>1</v>
      </c>
      <c r="E8" s="5" t="s">
        <v>76</v>
      </c>
      <c r="F8" s="5"/>
      <c r="G8" s="6">
        <v>0</v>
      </c>
      <c r="H8" s="5" t="s">
        <v>77</v>
      </c>
      <c r="I8" s="7">
        <f t="shared" si="0"/>
        <v>1</v>
      </c>
      <c r="J8" s="5" t="s">
        <v>78</v>
      </c>
    </row>
    <row r="9" ht="64" customHeight="1" spans="1:10">
      <c r="A9" s="1" t="s">
        <v>33</v>
      </c>
      <c r="B9" s="1" t="s">
        <v>34</v>
      </c>
      <c r="C9" s="1" t="s">
        <v>69</v>
      </c>
      <c r="D9" s="8">
        <v>1</v>
      </c>
      <c r="E9" s="1" t="s">
        <v>79</v>
      </c>
      <c r="F9" s="10" t="s">
        <v>80</v>
      </c>
      <c r="G9" s="8">
        <v>6</v>
      </c>
      <c r="H9" s="1" t="s">
        <v>81</v>
      </c>
      <c r="I9" s="9">
        <f t="shared" si="0"/>
        <v>7</v>
      </c>
      <c r="J9" s="1" t="s">
        <v>82</v>
      </c>
    </row>
    <row r="10" ht="64" customHeight="1" spans="1:10">
      <c r="A10" s="5" t="s">
        <v>39</v>
      </c>
      <c r="B10" s="5" t="s">
        <v>41</v>
      </c>
      <c r="C10" s="5" t="s">
        <v>69</v>
      </c>
      <c r="D10" s="6">
        <v>1</v>
      </c>
      <c r="E10" s="5" t="s">
        <v>83</v>
      </c>
      <c r="F10" s="5"/>
      <c r="G10" s="6">
        <v>0</v>
      </c>
      <c r="H10" s="5" t="s">
        <v>84</v>
      </c>
      <c r="I10" s="7">
        <f t="shared" si="0"/>
        <v>1</v>
      </c>
      <c r="J10" s="5" t="s">
        <v>85</v>
      </c>
    </row>
    <row r="11" ht="64" customHeight="1" spans="1:10">
      <c r="A11" s="1" t="s">
        <v>46</v>
      </c>
      <c r="B11" s="1" t="s">
        <v>47</v>
      </c>
      <c r="C11" s="1" t="s">
        <v>69</v>
      </c>
      <c r="D11" s="8">
        <v>1</v>
      </c>
      <c r="E11" s="1" t="s">
        <v>86</v>
      </c>
      <c r="F11" s="1"/>
      <c r="G11" s="8">
        <v>0</v>
      </c>
      <c r="H11" s="1" t="s">
        <v>87</v>
      </c>
      <c r="I11" s="9">
        <f t="shared" si="0"/>
        <v>1</v>
      </c>
      <c r="J11" s="1" t="s">
        <v>88</v>
      </c>
    </row>
    <row r="12" ht="64" customHeight="1" spans="1:10">
      <c r="A12" s="5" t="s">
        <v>52</v>
      </c>
      <c r="B12" s="5" t="s">
        <v>54</v>
      </c>
      <c r="C12" s="5" t="s">
        <v>69</v>
      </c>
      <c r="D12" s="6">
        <v>1</v>
      </c>
      <c r="E12" s="5" t="s">
        <v>89</v>
      </c>
      <c r="F12" s="5"/>
      <c r="G12" s="6">
        <v>0</v>
      </c>
      <c r="H12" s="5" t="s">
        <v>90</v>
      </c>
      <c r="I12" s="7">
        <f t="shared" si="0"/>
        <v>1</v>
      </c>
      <c r="J12" s="5" t="s">
        <v>91</v>
      </c>
    </row>
    <row r="13" ht="30" customHeight="1" spans="1:10">
      <c r="A13" s="11" t="s">
        <v>92</v>
      </c>
      <c r="B13" s="11"/>
      <c r="C13" s="11"/>
      <c r="D13" s="12">
        <f>SUM(D6:D12)</f>
        <v>8</v>
      </c>
      <c r="E13" s="11"/>
      <c r="F13" s="11"/>
      <c r="G13" s="12">
        <f>SUM(G6:G12)</f>
        <v>6</v>
      </c>
      <c r="H13" s="11"/>
      <c r="I13" s="12">
        <f>SUM(I6:I12)</f>
        <v>14</v>
      </c>
      <c r="J13" s="11"/>
    </row>
    <row r="14" ht="25" customHeight="1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25" customHeight="1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32" customHeight="1" spans="1:10">
      <c r="A16" s="4" t="s">
        <v>93</v>
      </c>
      <c r="B16" s="4" t="s">
        <v>94</v>
      </c>
      <c r="C16" s="4" t="s">
        <v>95</v>
      </c>
      <c r="D16" s="4" t="s">
        <v>96</v>
      </c>
      <c r="E16" s="4" t="s">
        <v>97</v>
      </c>
      <c r="F16" s="1"/>
      <c r="G16" s="1"/>
      <c r="H16" s="1"/>
      <c r="I16" s="1"/>
      <c r="J16" s="1"/>
    </row>
    <row r="17" ht="25" customHeight="1" spans="1:10">
      <c r="A17" s="1" t="s">
        <v>98</v>
      </c>
      <c r="B17" s="1" t="s">
        <v>69</v>
      </c>
      <c r="C17" s="13">
        <f>D13</f>
        <v>8</v>
      </c>
      <c r="D17" s="1" t="s">
        <v>99</v>
      </c>
      <c r="E17" s="1" t="s">
        <v>100</v>
      </c>
      <c r="F17" s="1"/>
      <c r="G17" s="1"/>
      <c r="H17" s="1"/>
      <c r="I17" s="1"/>
      <c r="J17" s="1"/>
    </row>
    <row r="18" ht="25" customHeight="1" spans="1:10">
      <c r="A18" s="1" t="s">
        <v>101</v>
      </c>
      <c r="B18" s="10" t="s">
        <v>80</v>
      </c>
      <c r="C18" s="13">
        <f>G13</f>
        <v>6</v>
      </c>
      <c r="D18" s="1" t="s">
        <v>99</v>
      </c>
      <c r="E18" s="1" t="s">
        <v>102</v>
      </c>
      <c r="F18" s="1"/>
      <c r="G18" s="1"/>
      <c r="H18" s="1"/>
      <c r="I18" s="1"/>
      <c r="J18" s="1"/>
    </row>
    <row r="19" ht="25" customHeight="1" spans="1:10">
      <c r="A19" s="1" t="s">
        <v>92</v>
      </c>
      <c r="B19" s="1" t="s">
        <v>103</v>
      </c>
      <c r="C19" s="13">
        <f>I13</f>
        <v>14</v>
      </c>
      <c r="D19" s="1" t="s">
        <v>104</v>
      </c>
      <c r="E19" s="1" t="s">
        <v>105</v>
      </c>
      <c r="F19" s="1"/>
      <c r="G19" s="1"/>
      <c r="H19" s="1"/>
      <c r="I19" s="1"/>
      <c r="J19" s="1"/>
    </row>
    <row r="20" ht="25" customHeight="1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25" customHeight="1" spans="1:10">
      <c r="A21" s="1" t="s">
        <v>106</v>
      </c>
      <c r="B21" s="1" t="s">
        <v>107</v>
      </c>
      <c r="C21" s="1"/>
      <c r="D21" s="1"/>
      <c r="E21" s="1"/>
      <c r="F21" s="1"/>
      <c r="G21" s="1"/>
      <c r="H21" s="1"/>
      <c r="I21" s="1"/>
      <c r="J21" s="1"/>
    </row>
    <row r="22" ht="25" customHeight="1" spans="1:10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">
    <mergeCell ref="B21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需求文档</vt:lpstr>
      <vt:lpstr>工作量分配清单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郭_少</cp:lastModifiedBy>
  <dcterms:created xsi:type="dcterms:W3CDTF">2026-10-09T13:07:05Z</dcterms:created>
  <dcterms:modified xsi:type="dcterms:W3CDTF">2026-10-09T13:11:36Z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1A6EC02CB4738D728777C86A29D34329_42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